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はじめに" state="visible" r:id="rId4"/>
    <sheet sheetId="2" name="前提" state="visible" r:id="rId5"/>
    <sheet sheetId="3" name="1月末KPI目標" state="visible" r:id="rId6"/>
    <sheet sheetId="4" name="月次モデル" state="visible" r:id="rId7"/>
    <sheet sheetId="5" name="逆算とギャップ" state="visible" r:id="rId8"/>
    <sheet sheetId="6" name="稼働キャパ" state="visible" r:id="rId9"/>
    <sheet sheetId="7" name="感度分析" state="visible" r:id="rId10"/>
  </sheets>
  <calcPr calcId="171027" fullCalcOnLoad="1"/>
</workbook>
</file>

<file path=xl/sharedStrings.xml><?xml version="1.0" encoding="utf-8"?>
<sst xmlns="http://schemas.openxmlformats.org/spreadsheetml/2006/main" count="303" uniqueCount="272">
  <si>
    <t>ProofLoop 投資回収モデル（2026-08 〜 2027-01）</t>
  </si>
  <si>
    <t/>
  </si>
  <si>
    <t>【目的】学生インターン3名の人件費を、2027年1月末までに回収できるラインを逆算する。</t>
  </si>
  <si>
    <t>【使い方】編集するのは「前提」シートの黄色いセルだけ。他はすべて数式で自動計算される。</t>
  </si>
  <si>
    <t>════════ 回収すべき金額 ════════</t>
  </si>
  <si>
    <t>月次コスト ¥160,880（人件費 3名×¥2,000×6h/週×4.33週 ＝ ¥155,880 ＋ 固定費 ¥5,000）</t>
  </si>
  <si>
    <t>累計コスト ¥965,280（6ヶ月）</t>
  </si>
  <si>
    <t>回収は2つの定義で判定する。A＝累計売上≧累計コスト。B＝1月単月の売上≧月次コスト（＝以後自走）。</t>
  </si>
  <si>
    <t>════════ 団体獲得のモデルを 2026-08-07 に組み替えた ════════</t>
  </si>
  <si>
    <t>当初は「コールドな新規開拓で500通」としていたが、これは最大の資産を勘定に入れていなかった。</t>
  </si>
  <si>
    <t>本番DBを実査した結果：</t>
  </si>
  <si>
    <t xml:space="preserve">　・承認済み掲載団体 2,421件のうち、アカウントの主がいるのは わずか1件</t>
  </si>
  <si>
    <t xml:space="preserve">　・SNS または公式サイトで到達できるのは 2,354件（97.2%）</t>
  </si>
  <si>
    <t xml:space="preserve">　　（X 2,125 ／ Instagram 1,914 ／ 公式サイト 1,955 ／ LINE 17）</t>
  </si>
  <si>
    <t>つまりやるべきことは新規開拓ではなく、既にページがある団体に「主になってもらう」claim 誘導である。</t>
  </si>
  <si>
    <t>⚠️ ただし organizations テーブルに メールアドレス列が無い。接触は SNS DM と サイトのフォームになる。</t>
  </si>
  <si>
    <t xml:space="preserve">　 → 一斉自動送信ができない（1件あたり2〜3分の手作業）</t>
  </si>
  <si>
    <t xml:space="preserve">　 → 特定電子メール法の対象外（メールではないため）。代わりに各SNSのスパム規約を守る必要がある</t>
  </si>
  <si>
    <t>════════ 結論 ════════</t>
  </si>
  <si>
    <t>1. 登録団体 100件超は達成できる。推奨シナリオで 122団体（通知1,400件・claim率8%）。</t>
  </si>
  <si>
    <t xml:space="preserve">   コストは 通知56h＋登録支援24h＋ハンズオン37h ＝ 117h。稼働枠281hのうち42%で収まる。</t>
  </si>
  <si>
    <t>2. ただし ── 100団体は6ヶ月の投資回収にはほとんど寄与しない。</t>
  </si>
  <si>
    <t xml:space="preserve">   登録団体 20 → 122 に増やしても、累計回収率は 108.1% → 110.4%（＋2.3ポイント）にしかならない。</t>
  </si>
  <si>
    <t xml:space="preserve">   理由：成立案件数が全シナリオで10.3件のまま動かない。案件の律速は企業側であって団体側ではなく、</t>
  </si>
  <si>
    <t xml:space="preserve">   　　　団体を増やしても案件は増えないため。増えるのは団体課金だけ（月¥3,723→¥11,713）。</t>
  </si>
  <si>
    <t>3. したがって 100団体の価値は「6ヶ月の外」にある。この期間の投資回収を根拠に正当化してはいけない。</t>
  </si>
  <si>
    <t xml:space="preserve">   ・新歓期（3〜4月）の学生流入 ── 団体が多いほど学生が来て、団体が新歓・イベント告知に使う</t>
  </si>
  <si>
    <t xml:space="preserve">   ・B2Cの回遊と検索流入の受け皿</t>
  </si>
  <si>
    <t xml:space="preserve">   ・企業への提案力（マッチング母集団の厚み）</t>
  </si>
  <si>
    <t xml:space="preserve">   ・将来の課金基盤（122団体×有料化20%×¥3,000 ＝ 月¥73,200 のポテンシャル）</t>
  </si>
  <si>
    <t xml:space="preserve">   これらは正しい狙いだが、6ヶ月モデルには乗らない。両方を別々に管理すること。</t>
  </si>
  <si>
    <t>4. 100団体を成立させる条件は オンボーディングのセルフサーブ化。</t>
  </si>
  <si>
    <t xml:space="preserve">   1団体3時間のハンズオンを続けると稼働が115%になって破綻する。1.5時間に落として99.7%、</t>
  </si>
  <si>
    <t xml:space="preserve">   通知量を1,400件に絞って92.3%。つまり「登録は自力でできる、支援は要点だけ」の設計が前提条件。</t>
  </si>
  <si>
    <t>════════ 2027年1月末のKPI目標（＝このファイルの既定値） ════════</t>
  </si>
  <si>
    <t xml:space="preserve">　協賛の平均単価 / 手数料率　 ¥500,000 / 20%（1案件あたり収益 ¥100,000）</t>
  </si>
  <si>
    <t xml:space="preserve">　累計 掲載通知 接触数　　　 1,400件（到達可能2,354件の59%）</t>
  </si>
  <si>
    <t xml:space="preserve">　累計 登録団体数　　　　　　 122団体　★</t>
  </si>
  <si>
    <t xml:space="preserve">　実運用団体数（1月末）　　　 20団体</t>
  </si>
  <si>
    <t xml:space="preserve">　累計 企業打診数　　　　　　 430社</t>
  </si>
  <si>
    <t xml:space="preserve">　累計 商談数　　　　　　　　 26件</t>
  </si>
  <si>
    <t xml:space="preserve">　累計 成立案件数　　　　　　 10件</t>
  </si>
  <si>
    <t xml:space="preserve">　累計売上　　　　　　　　　 ¥1,065,259（累計コストを10.4%上回る）</t>
  </si>
  <si>
    <t xml:space="preserve">　1月の単月売上　　　　　　　 ¥179,713 ＞ 月次コスト ¥160,880</t>
  </si>
  <si>
    <t xml:space="preserve">　アウトリーチ稼働の消化率　　 92.3%</t>
  </si>
  <si>
    <t>════════ 急所 ════════</t>
  </si>
  <si>
    <t>1. 「協賛1案件 ¥500,000」は未検証。¥300,000だと回収率は67.6%まで落ちる（登録団体数とは無関係に落ちる）。</t>
  </si>
  <si>
    <t xml:space="preserve">   8〜9月の企業打診で最初に確かめる数字。</t>
  </si>
  <si>
    <t>2. claim率8%も未検証。ただし回収率への影響は小さい（claim4%でも108.6%）。効くのは登録団体数のほう。</t>
  </si>
  <si>
    <t>3. 歩留まりはすべて仮定。8月の第1バッチ（通知200件）が claim率の初回実測を出す。9月頭に引き直すこと。</t>
  </si>
  <si>
    <t>前提（黄色いセルだけを編集してください）</t>
  </si>
  <si>
    <t>■ コスト前提</t>
  </si>
  <si>
    <t>インターン人数</t>
  </si>
  <si>
    <t>名</t>
  </si>
  <si>
    <t>時給</t>
  </si>
  <si>
    <t>円</t>
  </si>
  <si>
    <t>1人あたり週稼働時間</t>
  </si>
  <si>
    <t>時間/週</t>
  </si>
  <si>
    <t>週数/月</t>
  </si>
  <si>
    <t>週</t>
  </si>
  <si>
    <t>月次人件費</t>
  </si>
  <si>
    <t>その他固定費（ツール等）</t>
  </si>
  <si>
    <t>月次コスト合計</t>
  </si>
  <si>
    <t>対象期間（ヶ月）</t>
  </si>
  <si>
    <t>累計コスト＝回収すべき金額</t>
  </si>
  <si>
    <t>■ 収益単価の前提</t>
  </si>
  <si>
    <t>協賛1案件の平均金額</t>
  </si>
  <si>
    <t>★最大の急所。未検証の仮置き</t>
  </si>
  <si>
    <t>ProofLoop 手数料率</t>
  </si>
  <si>
    <t>1案件あたり ProofLoop 収益</t>
  </si>
  <si>
    <t>団体課金 月額</t>
  </si>
  <si>
    <t>円/団体/月</t>
  </si>
  <si>
    <t>有料化率（実運用団体のうち）</t>
  </si>
  <si>
    <t>課金開始月（1=8月 … 6=1月）</t>
  </si>
  <si>
    <t>4 ＝ 2026-11</t>
  </si>
  <si>
    <t>その他収益（アフィリエイト等）</t>
  </si>
  <si>
    <t>円/月</t>
  </si>
  <si>
    <t>■ 団体レーン（掲載通知＝ページの claim 誘導）</t>
  </si>
  <si>
    <t>到達可能な掲載団体数</t>
  </si>
  <si>
    <t>本番DB実査（2026-08-07）。承認済2,421のうちSNS/サイト到達可</t>
  </si>
  <si>
    <t>掲載通知 → 登録（claim）率</t>
  </si>
  <si>
    <t>未検証。8月の第1バッチで初回実測が出る</t>
  </si>
  <si>
    <t>ネットワーク効果係数（月次）</t>
  </si>
  <si>
    <t>登録団体1つが1ヶ月に呼ぶ新規登録数（口コミ・学生経由）</t>
  </si>
  <si>
    <t>登録 → 実運用率</t>
  </si>
  <si>
    <t>実運用＝財務DXに実データを入れている状態</t>
  </si>
  <si>
    <t>実運用団体の月次継続率</t>
  </si>
  <si>
    <t>■ 企業レーン</t>
  </si>
  <si>
    <t>打診→反応率</t>
  </si>
  <si>
    <t>反応→商談率</t>
  </si>
  <si>
    <t>商談→成約率</t>
  </si>
  <si>
    <t>1案件に必要な実運用団体数</t>
  </si>
  <si>
    <t>供給側の制約。団体が足りなければ案件は成立しない</t>
  </si>
  <si>
    <t>■ 回収目標</t>
  </si>
  <si>
    <t>目標回収率（累計）</t>
  </si>
  <si>
    <t>100%＝1月末に投資を全額回収</t>
  </si>
  <si>
    <t>■ 月別の投下量（＝実行計画そのもの）</t>
  </si>
  <si>
    <t>月</t>
  </si>
  <si>
    <t>2026-08</t>
  </si>
  <si>
    <t>2026-09</t>
  </si>
  <si>
    <t>2026-10</t>
  </si>
  <si>
    <t>2026-11</t>
  </si>
  <si>
    <t>2026-12</t>
  </si>
  <si>
    <t>2027-01</t>
  </si>
  <si>
    <t>掲載通知 接触数（件）</t>
  </si>
  <si>
    <t>企業打診数（社）</t>
  </si>
  <si>
    <t>■ 1件あたり所要時間（稼働キャパの計算に使う）</t>
  </si>
  <si>
    <t>掲載通知1件（SNS DM・サイトフォーム）</t>
  </si>
  <si>
    <t>＝2.4分。一斉自動送信はできない</t>
  </si>
  <si>
    <t>登録団体1件のセルフサーブ支援</t>
  </si>
  <si>
    <t>問い合わせ対応のみ</t>
  </si>
  <si>
    <t>実運用化のハンズオン1団体</t>
  </si>
  <si>
    <t>★3.0hだと稼働が破綻する。セルフサーブ化が前提</t>
  </si>
  <si>
    <t>企業打診1社</t>
  </si>
  <si>
    <t>商談1件（準備・実施・追客）</t>
  </si>
  <si>
    <t>アウトリーチに充てる稼働割合</t>
  </si>
  <si>
    <t>残りは開発・SEO・管理</t>
  </si>
  <si>
    <t>■ 参考シナリオ（B列は ★推奨 が既定値として入っている）</t>
  </si>
  <si>
    <t>項目</t>
  </si>
  <si>
    <t>① 当初想定</t>
  </si>
  <si>
    <t>★② 推奨（既定値）</t>
  </si>
  <si>
    <t>③ 通知を1,650件へ</t>
  </si>
  <si>
    <t>④ claim率が4%だったら</t>
  </si>
  <si>
    <t>掲載通知 合計</t>
  </si>
  <si>
    <t>claim率</t>
  </si>
  <si>
    <t>ハンズオン1団体</t>
  </si>
  <si>
    <t>→ 累計登録団体（1月末）</t>
  </si>
  <si>
    <t>→ 累計成立案件</t>
  </si>
  <si>
    <t>→ 累計回収率（定義A）</t>
  </si>
  <si>
    <t>→ 1月単月の達成率（定義B）</t>
  </si>
  <si>
    <t>→ アウトリーチ稼働の消化率</t>
  </si>
  <si>
    <t>→ 判定</t>
  </si>
  <si>
    <t>届かない</t>
  </si>
  <si>
    <t>100団体・回収とも達成</t>
  </si>
  <si>
    <t>回収は同じ。稼働が限界</t>
  </si>
  <si>
    <t>回収は達成。団体が足りない</t>
  </si>
  <si>
    <t>※ 「→」の5行は検証スクリプトで別途計算した実測値（この表自体は数式ではない）。前提を変えたら他シートの数式が正となる。</t>
  </si>
  <si>
    <t>※ 合計だけ変えても反映されない。41〜42行の月別セルを書き換えること。</t>
  </si>
  <si>
    <t>※ ②→③ 通知を1,400→1,650件に増やすと登録は122→143団体に増えるが、回収率は110.4%→110.9%しか動かない。</t>
  </si>
  <si>
    <t xml:space="preserve">　 案件の律速は企業側であって団体側ではないため。団体を増やす価値は6ヶ月の回収の外（新歓期・B2C・将来の課金基盤）にある。</t>
  </si>
  <si>
    <t>※ ②→④ claim率が半分の4%でも回収率は108.6%を維持する。回収は claim率にほぼ依存しない。依存するのは協賛単価。</t>
  </si>
  <si>
    <t>2027年1月末に到達すべきKPI</t>
  </si>
  <si>
    <t>B列＝いまの前提で到達する見込み ／ C列＝投資を回収するために必要な水準 ／ D列＝差</t>
  </si>
  <si>
    <t>※ 登録団体数は「回収に必要な水準」が低く出る（案件の律速が企業側のため）。100団体は回収ではなくネットワーク効果を狙う目標である。</t>
  </si>
  <si>
    <t>■ KPI一覧</t>
  </si>
  <si>
    <t>KPI</t>
  </si>
  <si>
    <t>見込み</t>
  </si>
  <si>
    <t>必要水準</t>
  </si>
  <si>
    <t>差</t>
  </si>
  <si>
    <t>必要水準の出し方</t>
  </si>
  <si>
    <t>累計 掲載通知 接触数（件）</t>
  </si>
  <si>
    <t>必要実運用 ÷ 実運用化率 ÷ claim率（ネットワーク効果は無視＝保守側）</t>
  </si>
  <si>
    <t>累計 登録団体数　★</t>
  </si>
  <si>
    <t>必要実運用 ÷ 登録→実運用率</t>
  </si>
  <si>
    <t>実運用団体数（1月末）</t>
  </si>
  <si>
    <t>必要案件数 × 1案件に必要な団体数（供給の下限）</t>
  </si>
  <si>
    <t>累計 企業打診数（社）</t>
  </si>
  <si>
    <t>必要案件数 ÷（反応率×商談率×成約率）</t>
  </si>
  <si>
    <t>累計 商談数</t>
  </si>
  <si>
    <t>必要案件数 ÷ 商談→成約率</t>
  </si>
  <si>
    <t>累計 成立案件数</t>
  </si>
  <si>
    <t>協賛で稼ぐ必要額 ÷ 1案件あたり収益</t>
  </si>
  <si>
    <t>1月単月の成立案件数</t>
  </si>
  <si>
    <t>単月黒字に必要な月次案件数</t>
  </si>
  <si>
    <t>累計売上</t>
  </si>
  <si>
    <t>＝累計コスト×目標回収率</t>
  </si>
  <si>
    <t>1月単月 売上</t>
  </si>
  <si>
    <t>＝1ヶ月ぶんのコスト</t>
  </si>
  <si>
    <t>累計回収率</t>
  </si>
  <si>
    <t>目標値</t>
  </si>
  <si>
    <t>整合チェック：累計案件数 ÷ 累計登録団体数</t>
  </si>
  <si>
    <t>1を超えたら「1団体が半年で2件以上の協賛を取る」前提。要見直し</t>
  </si>
  <si>
    <t>■ 必要水準を実行できるのか（稼働の突き合わせ）</t>
  </si>
  <si>
    <t>必要水準を実行するのに要る工数</t>
  </si>
  <si>
    <t>アウトリーチに充てられる時間（6ヶ月）</t>
  </si>
  <si>
    <t>消化率</t>
  </si>
  <si>
    <t>判定</t>
  </si>
  <si>
    <t>※ C列（必要水準）に届かないなら、選べる道は4つ：①投下量を増やす ②協賛単価を上げる ③手数料率を上げる ④回収の定義をAからBに変える。</t>
  </si>
  <si>
    <t xml:space="preserve">　 必要水準は「逆算とギャップ」シートの①〜④に出ている。</t>
  </si>
  <si>
    <t>※ 検証済み：協賛単価¥300,000だと必要水準の消化率が147%になり、投下量をどれだけ積んでも物理的に実行できない。</t>
  </si>
  <si>
    <t>月次モデル（すべて「前提」シートから自動計算）</t>
  </si>
  <si>
    <t>合計/最終</t>
  </si>
  <si>
    <t>月インデックス</t>
  </si>
  <si>
    <t>■ コスト</t>
  </si>
  <si>
    <t>人件費</t>
  </si>
  <si>
    <t>その他固定費</t>
  </si>
  <si>
    <t>累計コスト</t>
  </si>
  <si>
    <t>■ 団体レーン（掲載通知＝claim誘導）</t>
  </si>
  <si>
    <t>累計 接触数</t>
  </si>
  <si>
    <t>新規登録（通知経由）</t>
  </si>
  <si>
    <t>新規登録（ネットワーク経由）</t>
  </si>
  <si>
    <t>新規登録 合計</t>
  </si>
  <si>
    <t>累計 登録団体　★</t>
  </si>
  <si>
    <t>新規 実運用団体</t>
  </si>
  <si>
    <t>実運用団体（月末・継続率考慮）</t>
  </si>
  <si>
    <t>反応</t>
  </si>
  <si>
    <t>商談</t>
  </si>
  <si>
    <t>成約見込（需要側）</t>
  </si>
  <si>
    <t>供給上限（実運用団体の制約）</t>
  </si>
  <si>
    <t>—</t>
  </si>
  <si>
    <t>成立案件数</t>
  </si>
  <si>
    <t>累計 案件数</t>
  </si>
  <si>
    <t>■ 収益</t>
  </si>
  <si>
    <t>協賛手数料</t>
  </si>
  <si>
    <t>団体課金</t>
  </si>
  <si>
    <t>その他収益</t>
  </si>
  <si>
    <t>月次売上合計</t>
  </si>
  <si>
    <t>■ 回収</t>
  </si>
  <si>
    <t>月次収支</t>
  </si>
  <si>
    <t>累計収支</t>
  </si>
  <si>
    <t>月次で黒字か</t>
  </si>
  <si>
    <t>※ 13行目は到達可能な掲載団体数（前提 B24＝2,354）を上限として打ち止まる。</t>
  </si>
  <si>
    <t>※ 27行目「供給上限」は、実運用団体が足りないと案件が成立しないという制約。28行目は需要と供給の少ない方。</t>
  </si>
  <si>
    <t xml:space="preserve">　 全期間で需要（企業側）が下回る＝案件の律速は企業側。団体を増やしても案件数は増えない。</t>
  </si>
  <si>
    <t>逆算とギャップ（回収に必要な水準 vs いまの見込み）</t>
  </si>
  <si>
    <t>■ 定義A：累計回収（1月末までの累計売上 ≧ 累計コスト）</t>
  </si>
  <si>
    <t>必要累計売上</t>
  </si>
  <si>
    <t>回収すべき金額</t>
  </si>
  <si>
    <t>見込み累計売上</t>
  </si>
  <si>
    <t>いまの前提で到達する売上</t>
  </si>
  <si>
    <t>ギャップ（不足額）</t>
  </si>
  <si>
    <t>プラスなら足りていない</t>
  </si>
  <si>
    <t>100%で回収達成</t>
  </si>
  <si>
    <t>■ 定義B：月次ランレート黒字（1月単月の売上 ≧ 1ヶ月ぶんのコスト）</t>
  </si>
  <si>
    <t>必要月次売上</t>
  </si>
  <si>
    <t>1ヶ月ぶんのコスト</t>
  </si>
  <si>
    <t>1月の見込み売上</t>
  </si>
  <si>
    <t>達成率</t>
  </si>
  <si>
    <t>100%で単月黒字</t>
  </si>
  <si>
    <t>1月に必要な成立案件数（協賛のみで賄う場合）</t>
  </si>
  <si>
    <t>月あたり</t>
  </si>
  <si>
    <t>■ 定義Aのギャップを「単一のレバー」で埋めるとどうなるか</t>
  </si>
  <si>
    <t>協賛以外の収益（団体課金＋その他）の累計</t>
  </si>
  <si>
    <t>協賛で稼ぐ必要のある額</t>
  </si>
  <si>
    <t>いまの見込み案件数（6ヶ月累計）</t>
  </si>
  <si>
    <t>① 案件数だけで埋める：必要な累計案件数</t>
  </si>
  <si>
    <t>単価・手数料率を据え置いた場合</t>
  </si>
  <si>
    <t xml:space="preserve">　　必要倍率</t>
  </si>
  <si>
    <t>1.5倍を超えると計画変更が要る</t>
  </si>
  <si>
    <t>② 単価だけで埋める：必要な協賛平均金額</t>
  </si>
  <si>
    <t>案件数を据え置いた場合</t>
  </si>
  <si>
    <t>③ 手数料率だけで埋める：必要な手数料率</t>
  </si>
  <si>
    <t>30%超は交渉上ほぼ通らない</t>
  </si>
  <si>
    <t>④ 団体課金だけで埋める：必要な有料団体数</t>
  </si>
  <si>
    <t>6ヶ月間ずっとこの数が課金している前提。0なら協賛だけで足りている</t>
  </si>
  <si>
    <t>■ 判定</t>
  </si>
  <si>
    <t>定義A（累計回収）</t>
  </si>
  <si>
    <t>定義B（月次ランレート黒字）</t>
  </si>
  <si>
    <t>※ 団体を増やしてもこのシートの数字はほぼ動かない。案件の律速が企業側だから。</t>
  </si>
  <si>
    <t xml:space="preserve">　 回収を動かすのは ②協賛単価 と、企業打診の量である。</t>
  </si>
  <si>
    <t>稼働キャパ（週6時間×3名でその投下量は回るのか）</t>
  </si>
  <si>
    <t>■ 使える時間</t>
  </si>
  <si>
    <t>月次の稼働可能時間（3名合計）</t>
  </si>
  <si>
    <t>期間合計（6ヶ月）</t>
  </si>
  <si>
    <t>うちアウトリーチに充てられる時間</t>
  </si>
  <si>
    <t>■ 必要な工数</t>
  </si>
  <si>
    <t>掲載通知（SNS DM・サイトフォーム）</t>
  </si>
  <si>
    <t>登録団体のセルフサーブ支援</t>
  </si>
  <si>
    <t>実運用化のハンズオン</t>
  </si>
  <si>
    <t>企業打診</t>
  </si>
  <si>
    <t>必要工数 合計</t>
  </si>
  <si>
    <t>余裕（アウトリーチ枠 − 必要工数）</t>
  </si>
  <si>
    <t>アウトリーチ枠の消化率</t>
  </si>
  <si>
    <t>※ 100団体を狙うとき、最大の変数は「実運用化のハンズオン1団体あたり時間」（前提 B47）である。</t>
  </si>
  <si>
    <t xml:space="preserve">　 3.0hのままだと消化率115%で破綻する。1.5h（＝セルフサーブ＋要点だけ支援）で92%に収まる。</t>
  </si>
  <si>
    <t>※ 掲載通知は一斉自動送信ができない（メール列が無くSNS DM/サイトフォームのため）。1件2.4分は手作業前提の数字。</t>
  </si>
  <si>
    <t>感度分析：累計案件数 × 協賛平均金額 → 累計回収率</t>
  </si>
  <si>
    <t>縦＝協賛1案件の平均金額 ／ 横＝6ヶ月の累計案件数</t>
  </si>
  <si>
    <t>手数料率と累計コストは「前提」シートの値を使う。緑＝回収達成（100%以上）。</t>
  </si>
  <si>
    <t>案件数 →</t>
  </si>
  <si>
    <t>※ 協賛手数料のみで計算している（団体課金・その他収益は含まない）。</t>
  </si>
  <si>
    <t xml:space="preserve">　 緑のマスに入る組み合わせが、1月末に投資を回収できる条件。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</si>
</sst>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164" formatCode="&quot;¥&quot;#,##0"/>
    <numFmt numFmtId="165" formatCode="0.0%"/>
    <numFmt numFmtId="166" formatCode="#,##0.0"/>
    <numFmt numFmtId="167" formatCode="#,##0.0&quot;h&quot;"/>
    <numFmt numFmtId="168" formatCode="0.0&quot;倍&quot;"/>
  </numFmts>
  <fonts count="12" x14ac:knownFonts="1">
    <font>
      <color theme="1"/>
      <family val="2"/>
      <scheme val="minor"/>
      <sz val="11"/>
      <name val="Calibri"/>
    </font>
    <font>
      <b/>
      <color rgb="FF002B5C"/>
      <sz val="14"/>
    </font>
    <font>
      <b/>
      <color rgb="FF002B5C"/>
    </font>
    <font>
      <b/>
      <color rgb="FF8B0000"/>
    </font>
    <font>
      <b/>
      <color rgb="FFFFFFFF"/>
      <sz val="11"/>
    </font>
    <font>
      <color rgb="FF1F2A36"/>
    </font>
    <font>
      <color rgb="FF8B0000"/>
      <sz val="9"/>
    </font>
    <font>
      <color rgb="FF5A6672"/>
      <sz val="9"/>
    </font>
    <font>
      <b/>
      <color rgb="FFFFFFFF"/>
    </font>
    <font>
      <i/>
      <color rgb="FF5A6672"/>
      <sz val="9"/>
    </font>
    <font>
      <b/>
      <color rgb="FF8B0000"/>
      <sz val="12"/>
    </font>
    <font>
      <color rgb="FF8A94A0"/>
      <sz val="9"/>
    </font>
  </fonts>
  <fills count="6">
    <fill>
      <patternFill patternType="none"/>
    </fill>
    <fill>
      <patternFill patternType="gray125"/>
    </fill>
    <fill>
      <patternFill patternType="solid">
        <fgColor rgb="FF002B5C"/>
      </patternFill>
    </fill>
    <fill>
      <patternFill patternType="solid">
        <fgColor rgb="FFFFF6D6"/>
      </patternFill>
    </fill>
    <fill>
      <patternFill patternType="solid">
        <fgColor rgb="FFF2F4F7"/>
      </patternFill>
    </fill>
    <fill>
      <patternFill patternType="solid">
        <fgColor rgb="FFE8F0E3"/>
      </patternFill>
    </fill>
  </fills>
  <borders count="3">
    <border>
      <left/>
      <right/>
      <top/>
      <bottom/>
      <diagonal/>
    </border>
    <border>
      <left style="thin">
        <color rgb="FFC9D2DC"/>
      </left>
      <right style="thin">
        <color rgb="FFC9D2DC"/>
      </right>
      <top style="thin">
        <color rgb="FFC9D2DC"/>
      </top>
      <bottom style="thin">
        <color rgb="FFC9D2DC"/>
      </bottom>
      <diagonal/>
    </border>
    <border>
      <left style="hair">
        <color rgb="FFC9D2DC"/>
      </left>
      <right style="hair">
        <color rgb="FFC9D2DC"/>
      </right>
      <top style="hair">
        <color rgb="FFC9D2DC"/>
      </top>
      <bottom style="hair">
        <color rgb="FFC9D2D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2" borderId="0" xfId="0" applyFont="1" applyFill="1"/>
    <xf numFmtId="0" fontId="0" fillId="2" borderId="0" xfId="0" applyFill="1"/>
    <xf numFmtId="0" fontId="0" fillId="3" borderId="1" xfId="0" applyFill="1" applyBorder="1"/>
    <xf numFmtId="164" fontId="0" fillId="3" borderId="1" xfId="0" applyNumberFormat="1" applyFill="1" applyBorder="1"/>
    <xf numFmtId="164" fontId="5" fillId="0" borderId="0" xfId="0" applyNumberFormat="1" applyFont="1"/>
    <xf numFmtId="164" fontId="3" fillId="0" borderId="0" xfId="0" applyNumberFormat="1" applyFont="1"/>
    <xf numFmtId="0" fontId="6" fillId="0" borderId="0" xfId="0" applyFont="1"/>
    <xf numFmtId="165" fontId="0" fillId="3" borderId="1" xfId="0" applyNumberFormat="1" applyFill="1" applyBorder="1"/>
    <xf numFmtId="3" fontId="0" fillId="3" borderId="1" xfId="0" applyNumberFormat="1" applyFill="1" applyBorder="1"/>
    <xf numFmtId="0" fontId="7" fillId="0" borderId="0" xfId="0" applyFont="1"/>
    <xf numFmtId="166" fontId="0" fillId="3" borderId="1" xfId="0" applyNumberFormat="1" applyFill="1" applyBorder="1"/>
    <xf numFmtId="0" fontId="2" fillId="4" borderId="0" xfId="0" applyFont="1" applyFill="1" applyAlignment="1">
      <alignment horizontal="center"/>
    </xf>
    <xf numFmtId="167" fontId="0" fillId="3" borderId="1" xfId="0" applyNumberFormat="1" applyFill="1" applyBorder="1"/>
    <xf numFmtId="0" fontId="8" fillId="2" borderId="0" xfId="0" applyFont="1" applyFill="1" applyAlignment="1">
      <alignment horizontal="left"/>
    </xf>
    <xf numFmtId="0" fontId="8" fillId="2" borderId="0" xfId="0" applyFont="1" applyFill="1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64" fontId="0" fillId="5" borderId="0" xfId="0" applyNumberFormat="1" applyFill="1" applyAlignment="1">
      <alignment horizontal="center"/>
    </xf>
    <xf numFmtId="3" fontId="0" fillId="0" borderId="0" xfId="0" applyNumberFormat="1" applyAlignment="1">
      <alignment horizontal="center"/>
    </xf>
    <xf numFmtId="3" fontId="0" fillId="5" borderId="0" xfId="0" applyNumberFormat="1" applyFill="1" applyAlignment="1">
      <alignment horizontal="center"/>
    </xf>
    <xf numFmtId="165" fontId="0" fillId="0" borderId="0" xfId="0" applyNumberFormat="1" applyAlignment="1">
      <alignment horizontal="center"/>
    </xf>
    <xf numFmtId="165" fontId="0" fillId="5" borderId="0" xfId="0" applyNumberFormat="1" applyFill="1" applyAlignment="1">
      <alignment horizontal="center"/>
    </xf>
    <xf numFmtId="167" fontId="0" fillId="0" borderId="0" xfId="0" applyNumberFormat="1" applyAlignment="1">
      <alignment horizontal="center"/>
    </xf>
    <xf numFmtId="167" fontId="0" fillId="5" borderId="0" xfId="0" applyNumberFormat="1" applyFill="1" applyAlignment="1">
      <alignment horizontal="center"/>
    </xf>
    <xf numFmtId="3" fontId="2" fillId="0" borderId="0" xfId="0" applyNumberFormat="1" applyFont="1" applyAlignment="1">
      <alignment horizontal="center"/>
    </xf>
    <xf numFmtId="3" fontId="2" fillId="5" borderId="0" xfId="0" applyNumberFormat="1" applyFont="1" applyFill="1" applyAlignment="1">
      <alignment horizontal="center"/>
    </xf>
    <xf numFmtId="166" fontId="2" fillId="0" borderId="0" xfId="0" applyNumberFormat="1" applyFont="1" applyAlignment="1">
      <alignment horizontal="center"/>
    </xf>
    <xf numFmtId="166" fontId="2" fillId="5" borderId="0" xfId="0" applyNumberFormat="1" applyFont="1" applyFill="1" applyAlignment="1">
      <alignment horizontal="center"/>
    </xf>
    <xf numFmtId="165" fontId="2" fillId="0" borderId="0" xfId="0" applyNumberFormat="1" applyFont="1" applyAlignment="1">
      <alignment horizontal="center"/>
    </xf>
    <xf numFmtId="165" fontId="2" fillId="5" borderId="0" xfId="0" applyNumberFormat="1" applyFont="1" applyFill="1" applyAlignment="1">
      <alignment horizontal="center"/>
    </xf>
    <xf numFmtId="165" fontId="3" fillId="0" borderId="0" xfId="0" applyNumberFormat="1" applyFont="1" applyAlignment="1">
      <alignment horizontal="center"/>
    </xf>
    <xf numFmtId="165" fontId="3" fillId="5" borderId="0" xfId="0" applyNumberFormat="1" applyFont="1" applyFill="1" applyAlignment="1">
      <alignment horizontal="center"/>
    </xf>
    <xf numFmtId="0" fontId="9" fillId="0" borderId="0" xfId="0" applyFont="1"/>
    <xf numFmtId="3" fontId="5" fillId="0" borderId="0" xfId="0" applyNumberFormat="1" applyFont="1"/>
    <xf numFmtId="3" fontId="3" fillId="4" borderId="0" xfId="0" applyNumberFormat="1" applyFont="1" applyFill="1"/>
    <xf numFmtId="166" fontId="5" fillId="0" borderId="0" xfId="0" applyNumberFormat="1" applyFont="1"/>
    <xf numFmtId="166" fontId="3" fillId="4" borderId="0" xfId="0" applyNumberFormat="1" applyFont="1" applyFill="1"/>
    <xf numFmtId="164" fontId="3" fillId="4" borderId="0" xfId="0" applyNumberFormat="1" applyFont="1" applyFill="1"/>
    <xf numFmtId="165" fontId="5" fillId="0" borderId="0" xfId="0" applyNumberFormat="1" applyFont="1"/>
    <xf numFmtId="165" fontId="3" fillId="4" borderId="0" xfId="0" applyNumberFormat="1" applyFont="1" applyFill="1"/>
    <xf numFmtId="167" fontId="5" fillId="0" borderId="0" xfId="0" applyNumberFormat="1" applyFont="1"/>
    <xf numFmtId="0" fontId="10" fillId="0" borderId="0" xfId="0" applyFont="1" applyAlignment="1">
      <alignment horizontal="center"/>
    </xf>
    <xf numFmtId="0" fontId="11" fillId="0" borderId="0" xfId="0" applyFont="1" applyAlignment="1">
      <alignment horizontal="center"/>
    </xf>
    <xf numFmtId="164" fontId="2" fillId="4" borderId="0" xfId="0" applyNumberFormat="1" applyFont="1" applyFill="1"/>
    <xf numFmtId="164" fontId="2" fillId="0" borderId="0" xfId="0" applyNumberFormat="1" applyFont="1"/>
    <xf numFmtId="3" fontId="2" fillId="4" borderId="0" xfId="0" applyNumberFormat="1" applyFont="1" applyFill="1"/>
    <xf numFmtId="166" fontId="2" fillId="4" borderId="0" xfId="0" applyNumberFormat="1" applyFont="1" applyFill="1"/>
    <xf numFmtId="166" fontId="2" fillId="0" borderId="0" xfId="0" applyNumberFormat="1" applyFont="1"/>
    <xf numFmtId="0" fontId="0" fillId="4" borderId="0" xfId="0" applyFill="1" applyAlignment="1">
      <alignment horizontal="center"/>
    </xf>
    <xf numFmtId="165" fontId="2" fillId="0" borderId="0" xfId="0" applyNumberFormat="1" applyFont="1"/>
    <xf numFmtId="165" fontId="2" fillId="4" borderId="0" xfId="0" applyNumberFormat="1" applyFont="1" applyFill="1"/>
    <xf numFmtId="0" fontId="5" fillId="0" borderId="0" xfId="0" applyFont="1"/>
    <xf numFmtId="0" fontId="2" fillId="4" borderId="0" xfId="0" applyFont="1" applyFill="1"/>
    <xf numFmtId="165" fontId="10" fillId="0" borderId="0" xfId="0" applyNumberFormat="1" applyFont="1"/>
    <xf numFmtId="168" fontId="5" fillId="0" borderId="0" xfId="0" applyNumberFormat="1" applyFont="1"/>
    <xf numFmtId="167" fontId="2" fillId="0" borderId="0" xfId="0" applyNumberFormat="1" applyFont="1"/>
    <xf numFmtId="0" fontId="8" fillId="2" borderId="0" xfId="0" applyFont="1" applyFill="1"/>
    <xf numFmtId="164" fontId="8" fillId="2" borderId="0" xfId="0" applyNumberFormat="1" applyFont="1" applyFill="1"/>
    <xf numFmtId="9" fontId="0" fillId="0" borderId="2" xfId="0" applyNumberFormat="1" applyBorder="1" applyAlignment="1">
      <alignment horizontal="center"/>
    </xf>
  </cellXfs>
  <cellStyles count="1">
    <cellStyle name="Normal" xfId="0" builtinId="0"/>
  </cellStyles>
  <dxfs count="3">
    <dxf>
      <font>
        <b/>
        <color rgb="FF1B5E20"/>
      </font>
      <fill>
        <patternFill patternType="solid">
          <bgColor rgb="FFC8E6C9"/>
        </patternFill>
      </fill>
    </dxf>
    <dxf>
      <fill>
        <patternFill patternType="solid">
          <bgColor rgb="FFFFF3C4"/>
        </patternFill>
      </fill>
    </dxf>
    <dxf>
      <font>
        <color rgb="FF8B0000"/>
      </font>
      <fill>
        <patternFill patternType="solid">
          <bgColor rgb="FFF8D7DA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1"/>
  <sheetFormatPr defaultRowHeight="15" outlineLevelRow="0" outlineLevelCol="0" x14ac:dyDescent="55"/>
  <cols>
    <col min="1" max="1" width="115" customWidth="1"/>
  </cols>
  <sheetData>
    <row r="1" ht="24" customHeight="1" spans="1:1" x14ac:dyDescent="0.25">
      <c r="A1" s="1" t="s">
        <v>0</v>
      </c>
    </row>
    <row r="3" spans="1:1" x14ac:dyDescent="0.25">
      <c r="A3" t="s">
        <v>1</v>
      </c>
    </row>
    <row r="4" spans="1:1" x14ac:dyDescent="0.25">
      <c r="A4" s="2" t="s">
        <v>2</v>
      </c>
    </row>
    <row r="5" spans="1:1" x14ac:dyDescent="0.25">
      <c r="A5" t="s">
        <v>1</v>
      </c>
    </row>
    <row r="6" spans="1:1" x14ac:dyDescent="0.25">
      <c r="A6" s="2" t="s">
        <v>3</v>
      </c>
    </row>
    <row r="7" spans="1:1" x14ac:dyDescent="0.25">
      <c r="A7" t="s">
        <v>1</v>
      </c>
    </row>
    <row r="8" spans="1:1" x14ac:dyDescent="0.25">
      <c r="A8" s="3" t="s">
        <v>4</v>
      </c>
    </row>
    <row r="9" spans="1:1" x14ac:dyDescent="0.25">
      <c r="A9" t="s">
        <v>5</v>
      </c>
    </row>
    <row r="10" spans="1:1" x14ac:dyDescent="0.25">
      <c r="A10" t="s">
        <v>6</v>
      </c>
    </row>
    <row r="11" spans="1:1" x14ac:dyDescent="0.25">
      <c r="A11" t="s">
        <v>7</v>
      </c>
    </row>
    <row r="12" spans="1:1" x14ac:dyDescent="0.25">
      <c r="A12" t="s">
        <v>1</v>
      </c>
    </row>
    <row r="13" spans="1:1" x14ac:dyDescent="0.25">
      <c r="A13" s="3" t="s">
        <v>8</v>
      </c>
    </row>
    <row r="14" spans="1:1" x14ac:dyDescent="0.25">
      <c r="A14" t="s">
        <v>9</v>
      </c>
    </row>
    <row r="15" spans="1:1" x14ac:dyDescent="0.25">
      <c r="A15" t="s">
        <v>10</v>
      </c>
    </row>
    <row r="16" spans="1:1" x14ac:dyDescent="0.25">
      <c r="A16" t="s">
        <v>11</v>
      </c>
    </row>
    <row r="17" spans="1:1" x14ac:dyDescent="0.25">
      <c r="A17" t="s">
        <v>12</v>
      </c>
    </row>
    <row r="18" spans="1:1" x14ac:dyDescent="0.25">
      <c r="A18" t="s">
        <v>13</v>
      </c>
    </row>
    <row r="19" spans="1:1" x14ac:dyDescent="0.25">
      <c r="A19" t="s">
        <v>14</v>
      </c>
    </row>
    <row r="20" spans="1:1" x14ac:dyDescent="0.25">
      <c r="A20" t="s">
        <v>1</v>
      </c>
    </row>
    <row r="21" spans="1:1" x14ac:dyDescent="0.25">
      <c r="A21" s="3" t="s">
        <v>15</v>
      </c>
    </row>
    <row r="22" spans="1:1" x14ac:dyDescent="0.25">
      <c r="A22" t="s">
        <v>16</v>
      </c>
    </row>
    <row r="23" spans="1:1" x14ac:dyDescent="0.25">
      <c r="A23" t="s">
        <v>17</v>
      </c>
    </row>
    <row r="24" spans="1:1" x14ac:dyDescent="0.25">
      <c r="A24" t="s">
        <v>1</v>
      </c>
    </row>
    <row r="25" spans="1:1" x14ac:dyDescent="0.25">
      <c r="A25" s="3" t="s">
        <v>18</v>
      </c>
    </row>
    <row r="26" spans="1:1" x14ac:dyDescent="0.25">
      <c r="A26" s="2" t="s">
        <v>19</v>
      </c>
    </row>
    <row r="27" spans="1:1" x14ac:dyDescent="0.25">
      <c r="A27" t="s">
        <v>20</v>
      </c>
    </row>
    <row r="28" spans="1:1" x14ac:dyDescent="0.25">
      <c r="A28" t="s">
        <v>1</v>
      </c>
    </row>
    <row r="29" spans="1:1" x14ac:dyDescent="0.25">
      <c r="A29" s="2" t="s">
        <v>21</v>
      </c>
    </row>
    <row r="30" spans="1:1" x14ac:dyDescent="0.25">
      <c r="A30" t="s">
        <v>22</v>
      </c>
    </row>
    <row r="31" spans="1:1" x14ac:dyDescent="0.25">
      <c r="A31" t="s">
        <v>23</v>
      </c>
    </row>
    <row r="32" spans="1:1" x14ac:dyDescent="0.25">
      <c r="A32" t="s">
        <v>24</v>
      </c>
    </row>
    <row r="33" spans="1:1" x14ac:dyDescent="0.25">
      <c r="A33" t="s">
        <v>1</v>
      </c>
    </row>
    <row r="34" spans="1:1" x14ac:dyDescent="0.25">
      <c r="A34" s="2" t="s">
        <v>25</v>
      </c>
    </row>
    <row r="35" spans="1:1" x14ac:dyDescent="0.25">
      <c r="A35" t="s">
        <v>26</v>
      </c>
    </row>
    <row r="36" spans="1:1" x14ac:dyDescent="0.25">
      <c r="A36" t="s">
        <v>27</v>
      </c>
    </row>
    <row r="37" spans="1:1" x14ac:dyDescent="0.25">
      <c r="A37" t="s">
        <v>28</v>
      </c>
    </row>
    <row r="38" spans="1:1" x14ac:dyDescent="0.25">
      <c r="A38" t="s">
        <v>29</v>
      </c>
    </row>
    <row r="39" spans="1:1" x14ac:dyDescent="0.25">
      <c r="A39" t="s">
        <v>30</v>
      </c>
    </row>
    <row r="40" spans="1:1" x14ac:dyDescent="0.25">
      <c r="A40" t="s">
        <v>1</v>
      </c>
    </row>
    <row r="41" spans="1:1" x14ac:dyDescent="0.25">
      <c r="A41" s="2" t="s">
        <v>31</v>
      </c>
    </row>
    <row r="42" spans="1:1" x14ac:dyDescent="0.25">
      <c r="A42" t="s">
        <v>32</v>
      </c>
    </row>
    <row r="43" spans="1:1" x14ac:dyDescent="0.25">
      <c r="A43" t="s">
        <v>33</v>
      </c>
    </row>
    <row r="44" spans="1:1" x14ac:dyDescent="0.25">
      <c r="A44" t="s">
        <v>1</v>
      </c>
    </row>
    <row r="45" spans="1:1" x14ac:dyDescent="0.25">
      <c r="A45" s="3" t="s">
        <v>34</v>
      </c>
    </row>
    <row r="46" spans="1:1" x14ac:dyDescent="0.25">
      <c r="A46" t="s">
        <v>35</v>
      </c>
    </row>
    <row r="47" spans="1:1" x14ac:dyDescent="0.25">
      <c r="A47" t="s">
        <v>36</v>
      </c>
    </row>
    <row r="48" spans="1:1" x14ac:dyDescent="0.25">
      <c r="A48" t="s">
        <v>37</v>
      </c>
    </row>
    <row r="49" spans="1:1" x14ac:dyDescent="0.25">
      <c r="A49" t="s">
        <v>38</v>
      </c>
    </row>
    <row r="50" spans="1:1" x14ac:dyDescent="0.25">
      <c r="A50" t="s">
        <v>39</v>
      </c>
    </row>
    <row r="51" spans="1:1" x14ac:dyDescent="0.25">
      <c r="A51" t="s">
        <v>40</v>
      </c>
    </row>
    <row r="52" spans="1:1" x14ac:dyDescent="0.25">
      <c r="A52" t="s">
        <v>41</v>
      </c>
    </row>
    <row r="53" spans="1:1" x14ac:dyDescent="0.25">
      <c r="A53" t="s">
        <v>42</v>
      </c>
    </row>
    <row r="54" spans="1:1" x14ac:dyDescent="0.25">
      <c r="A54" t="s">
        <v>43</v>
      </c>
    </row>
    <row r="55" spans="1:1" x14ac:dyDescent="0.25">
      <c r="A55" t="s">
        <v>44</v>
      </c>
    </row>
    <row r="56" spans="1:1" x14ac:dyDescent="0.25">
      <c r="A56" t="s">
        <v>1</v>
      </c>
    </row>
    <row r="57" spans="1:1" x14ac:dyDescent="0.25">
      <c r="A57" s="3" t="s">
        <v>45</v>
      </c>
    </row>
    <row r="58" spans="1:1" x14ac:dyDescent="0.25">
      <c r="A58" s="2" t="s">
        <v>46</v>
      </c>
    </row>
    <row r="59" spans="1:1" x14ac:dyDescent="0.25">
      <c r="A59" t="s">
        <v>47</v>
      </c>
    </row>
    <row r="60" spans="1:1" x14ac:dyDescent="0.25">
      <c r="A60" s="2" t="s">
        <v>48</v>
      </c>
    </row>
    <row r="61" spans="1:1" x14ac:dyDescent="0.25">
      <c r="A61" s="2" t="s">
        <v>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69"/>
  <sheetFormatPr defaultRowHeight="15" outlineLevelRow="0" outlineLevelCol="0" x14ac:dyDescent="55"/>
  <cols>
    <col min="1" max="1" width="38" customWidth="1"/>
    <col min="2" max="7" width="21" customWidth="1"/>
    <col min="8" max="8" width="40" customWidth="1"/>
  </cols>
  <sheetData>
    <row r="1" ht="24" customHeight="1" spans="1:1" x14ac:dyDescent="0.25">
      <c r="A1" s="1" t="s">
        <v>50</v>
      </c>
    </row>
    <row r="3" spans="1:9" x14ac:dyDescent="0.25">
      <c r="A3" s="4" t="s">
        <v>51</v>
      </c>
      <c r="B3" s="5"/>
      <c r="C3" s="5"/>
      <c r="D3" s="5"/>
      <c r="E3" s="5"/>
      <c r="F3" s="5"/>
      <c r="G3" s="5"/>
      <c r="H3" s="5"/>
      <c r="I3" s="5"/>
    </row>
    <row r="4" spans="1:3" x14ac:dyDescent="0.25">
      <c r="A4" t="s">
        <v>52</v>
      </c>
      <c r="B4" s="6">
        <v>3</v>
      </c>
      <c r="C4" t="s">
        <v>53</v>
      </c>
    </row>
    <row r="5" spans="1:3" x14ac:dyDescent="0.25">
      <c r="A5" t="s">
        <v>54</v>
      </c>
      <c r="B5" s="7">
        <v>2000</v>
      </c>
      <c r="C5" t="s">
        <v>55</v>
      </c>
    </row>
    <row r="6" spans="1:3" x14ac:dyDescent="0.25">
      <c r="A6" t="s">
        <v>56</v>
      </c>
      <c r="B6" s="6">
        <v>6</v>
      </c>
      <c r="C6" t="s">
        <v>57</v>
      </c>
    </row>
    <row r="7" spans="1:3" x14ac:dyDescent="0.25">
      <c r="A7" t="s">
        <v>58</v>
      </c>
      <c r="B7" s="6">
        <v>4.33</v>
      </c>
      <c r="C7" t="s">
        <v>59</v>
      </c>
    </row>
    <row r="8" spans="1:2" x14ac:dyDescent="0.25">
      <c r="A8" t="s">
        <v>60</v>
      </c>
      <c r="B8" s="8">
        <f>B4*B5*B6*B7</f>
      </c>
    </row>
    <row r="9" spans="1:2" x14ac:dyDescent="0.25">
      <c r="A9" t="s">
        <v>61</v>
      </c>
      <c r="B9" s="7">
        <v>5000</v>
      </c>
    </row>
    <row r="10" spans="1:2" x14ac:dyDescent="0.25">
      <c r="A10" t="s">
        <v>62</v>
      </c>
      <c r="B10" s="8">
        <f>B8+B9</f>
      </c>
    </row>
    <row r="11" spans="1:2" x14ac:dyDescent="0.25">
      <c r="A11" t="s">
        <v>63</v>
      </c>
      <c r="B11" s="6">
        <v>6</v>
      </c>
    </row>
    <row r="12" spans="1:2" x14ac:dyDescent="0.25">
      <c r="A12" t="s">
        <v>64</v>
      </c>
      <c r="B12" s="9">
        <f>B10*B11</f>
      </c>
    </row>
    <row r="14" spans="1:9" x14ac:dyDescent="0.25">
      <c r="A14" s="4" t="s">
        <v>65</v>
      </c>
      <c r="B14" s="5"/>
      <c r="C14" s="5"/>
      <c r="D14" s="5"/>
      <c r="E14" s="5"/>
      <c r="F14" s="5"/>
      <c r="G14" s="5"/>
      <c r="H14" s="5"/>
      <c r="I14" s="5"/>
    </row>
    <row r="15" spans="1:8" x14ac:dyDescent="0.25">
      <c r="A15" t="s">
        <v>66</v>
      </c>
      <c r="B15" s="7">
        <v>500000</v>
      </c>
      <c r="H15" s="10" t="s">
        <v>67</v>
      </c>
    </row>
    <row r="16" spans="1:2" x14ac:dyDescent="0.25">
      <c r="A16" t="s">
        <v>68</v>
      </c>
      <c r="B16" s="11">
        <v>0.2</v>
      </c>
    </row>
    <row r="17" spans="1:2" x14ac:dyDescent="0.25">
      <c r="A17" t="s">
        <v>69</v>
      </c>
      <c r="B17" s="8">
        <f>B15*B16</f>
      </c>
    </row>
    <row r="18" spans="1:3" x14ac:dyDescent="0.25">
      <c r="A18" t="s">
        <v>70</v>
      </c>
      <c r="B18" s="7">
        <v>3000</v>
      </c>
      <c r="C18" t="s">
        <v>71</v>
      </c>
    </row>
    <row r="19" spans="1:2" x14ac:dyDescent="0.25">
      <c r="A19" t="s">
        <v>72</v>
      </c>
      <c r="B19" s="11">
        <v>0.2</v>
      </c>
    </row>
    <row r="20" spans="1:3" x14ac:dyDescent="0.25">
      <c r="A20" t="s">
        <v>73</v>
      </c>
      <c r="B20" s="6">
        <v>4</v>
      </c>
      <c r="C20" t="s">
        <v>74</v>
      </c>
    </row>
    <row r="21" spans="1:3" x14ac:dyDescent="0.25">
      <c r="A21" t="s">
        <v>75</v>
      </c>
      <c r="B21" s="7">
        <v>0</v>
      </c>
      <c r="C21" t="s">
        <v>76</v>
      </c>
    </row>
    <row r="23" spans="1:9" x14ac:dyDescent="0.25">
      <c r="A23" s="4" t="s">
        <v>77</v>
      </c>
      <c r="B23" s="5"/>
      <c r="C23" s="5"/>
      <c r="D23" s="5"/>
      <c r="E23" s="5"/>
      <c r="F23" s="5"/>
      <c r="G23" s="5"/>
      <c r="H23" s="5"/>
      <c r="I23" s="5"/>
    </row>
    <row r="24" spans="1:8" x14ac:dyDescent="0.25">
      <c r="A24" t="s">
        <v>78</v>
      </c>
      <c r="B24" s="12">
        <v>2354</v>
      </c>
      <c r="H24" s="13" t="s">
        <v>79</v>
      </c>
    </row>
    <row r="25" spans="1:8" x14ac:dyDescent="0.25">
      <c r="A25" t="s">
        <v>80</v>
      </c>
      <c r="B25" s="11">
        <v>0.08</v>
      </c>
      <c r="H25" s="10" t="s">
        <v>81</v>
      </c>
    </row>
    <row r="26" spans="1:8" x14ac:dyDescent="0.25">
      <c r="A26" t="s">
        <v>82</v>
      </c>
      <c r="B26" s="11">
        <v>0.03</v>
      </c>
      <c r="H26" s="13" t="s">
        <v>83</v>
      </c>
    </row>
    <row r="27" spans="1:8" x14ac:dyDescent="0.25">
      <c r="A27" t="s">
        <v>84</v>
      </c>
      <c r="B27" s="11">
        <v>0.2</v>
      </c>
      <c r="H27" s="13" t="s">
        <v>85</v>
      </c>
    </row>
    <row r="28" spans="1:2" x14ac:dyDescent="0.25">
      <c r="A28" t="s">
        <v>86</v>
      </c>
      <c r="B28" s="11">
        <v>0.92</v>
      </c>
    </row>
    <row r="30" spans="1:9" x14ac:dyDescent="0.25">
      <c r="A30" s="4" t="s">
        <v>87</v>
      </c>
      <c r="B30" s="5"/>
      <c r="C30" s="5"/>
      <c r="D30" s="5"/>
      <c r="E30" s="5"/>
      <c r="F30" s="5"/>
      <c r="G30" s="5"/>
      <c r="H30" s="5"/>
      <c r="I30" s="5"/>
    </row>
    <row r="31" spans="1:2" x14ac:dyDescent="0.25">
      <c r="A31" t="s">
        <v>88</v>
      </c>
      <c r="B31" s="11">
        <v>0.1</v>
      </c>
    </row>
    <row r="32" spans="1:2" x14ac:dyDescent="0.25">
      <c r="A32" t="s">
        <v>89</v>
      </c>
      <c r="B32" s="11">
        <v>0.6</v>
      </c>
    </row>
    <row r="33" spans="1:2" x14ac:dyDescent="0.25">
      <c r="A33" t="s">
        <v>90</v>
      </c>
      <c r="B33" s="11">
        <v>0.4</v>
      </c>
    </row>
    <row r="34" spans="1:8" x14ac:dyDescent="0.25">
      <c r="A34" t="s">
        <v>91</v>
      </c>
      <c r="B34" s="14">
        <v>1</v>
      </c>
      <c r="H34" s="13" t="s">
        <v>92</v>
      </c>
    </row>
    <row r="36" spans="1:9" x14ac:dyDescent="0.25">
      <c r="A36" s="4" t="s">
        <v>93</v>
      </c>
      <c r="B36" s="5"/>
      <c r="C36" s="5"/>
      <c r="D36" s="5"/>
      <c r="E36" s="5"/>
      <c r="F36" s="5"/>
      <c r="G36" s="5"/>
      <c r="H36" s="5"/>
      <c r="I36" s="5"/>
    </row>
    <row r="37" spans="1:8" x14ac:dyDescent="0.25">
      <c r="A37" t="s">
        <v>94</v>
      </c>
      <c r="B37" s="11">
        <v>1</v>
      </c>
      <c r="H37" s="13" t="s">
        <v>95</v>
      </c>
    </row>
    <row r="39" spans="1:9" x14ac:dyDescent="0.25">
      <c r="A39" s="4" t="s">
        <v>96</v>
      </c>
      <c r="B39" s="5"/>
      <c r="C39" s="5"/>
      <c r="D39" s="5"/>
      <c r="E39" s="5"/>
      <c r="F39" s="5"/>
      <c r="G39" s="5"/>
      <c r="H39" s="5"/>
      <c r="I39" s="5"/>
    </row>
    <row r="40" spans="1:7" x14ac:dyDescent="0.25">
      <c r="A40" t="s">
        <v>97</v>
      </c>
      <c r="B40" s="15" t="s">
        <v>98</v>
      </c>
      <c r="C40" s="15" t="s">
        <v>99</v>
      </c>
      <c r="D40" s="15" t="s">
        <v>100</v>
      </c>
      <c r="E40" s="15" t="s">
        <v>101</v>
      </c>
      <c r="F40" s="15" t="s">
        <v>102</v>
      </c>
      <c r="G40" s="15" t="s">
        <v>103</v>
      </c>
    </row>
    <row r="41" spans="1:8" x14ac:dyDescent="0.25">
      <c r="A41" t="s">
        <v>104</v>
      </c>
      <c r="B41" s="12">
        <v>200</v>
      </c>
      <c r="C41" s="12">
        <v>350</v>
      </c>
      <c r="D41" s="12">
        <v>350</v>
      </c>
      <c r="E41" s="12">
        <v>250</v>
      </c>
      <c r="F41" s="12">
        <v>150</v>
      </c>
      <c r="G41" s="12">
        <v>100</v>
      </c>
      <c r="H41" s="2">
        <f>"合計 "&amp;SUM(B41:G41)&amp;"件 / "&amp;SUM(B42:G42)&amp;"社"</f>
      </c>
    </row>
    <row r="42" spans="1:7" x14ac:dyDescent="0.25">
      <c r="A42" t="s">
        <v>105</v>
      </c>
      <c r="B42" s="12">
        <v>0</v>
      </c>
      <c r="C42" s="12">
        <v>60</v>
      </c>
      <c r="D42" s="12">
        <v>110</v>
      </c>
      <c r="E42" s="12">
        <v>110</v>
      </c>
      <c r="F42" s="12">
        <v>80</v>
      </c>
      <c r="G42" s="12">
        <v>70</v>
      </c>
    </row>
    <row r="44" spans="1:9" x14ac:dyDescent="0.25">
      <c r="A44" s="4" t="s">
        <v>106</v>
      </c>
      <c r="B44" s="5"/>
      <c r="C44" s="5"/>
      <c r="D44" s="5"/>
      <c r="E44" s="5"/>
      <c r="F44" s="5"/>
      <c r="G44" s="5"/>
      <c r="H44" s="5"/>
      <c r="I44" s="5"/>
    </row>
    <row r="45" spans="1:8" x14ac:dyDescent="0.25">
      <c r="A45" t="s">
        <v>107</v>
      </c>
      <c r="B45" s="16">
        <v>0.04</v>
      </c>
      <c r="H45" s="13" t="s">
        <v>108</v>
      </c>
    </row>
    <row r="46" spans="1:8" x14ac:dyDescent="0.25">
      <c r="A46" t="s">
        <v>109</v>
      </c>
      <c r="B46" s="16">
        <v>0.2</v>
      </c>
      <c r="H46" s="13" t="s">
        <v>110</v>
      </c>
    </row>
    <row r="47" spans="1:8" x14ac:dyDescent="0.25">
      <c r="A47" t="s">
        <v>111</v>
      </c>
      <c r="B47" s="16">
        <v>1.5</v>
      </c>
      <c r="H47" s="10" t="s">
        <v>112</v>
      </c>
    </row>
    <row r="48" spans="1:8" x14ac:dyDescent="0.25">
      <c r="A48" t="s">
        <v>113</v>
      </c>
      <c r="B48" s="16">
        <v>0.15</v>
      </c>
      <c r="H48" s="13" t="s">
        <v>1</v>
      </c>
    </row>
    <row r="49" spans="1:8" x14ac:dyDescent="0.25">
      <c r="A49" t="s">
        <v>114</v>
      </c>
      <c r="B49" s="16">
        <v>3</v>
      </c>
      <c r="H49" s="13" t="s">
        <v>1</v>
      </c>
    </row>
    <row r="50" spans="1:8" x14ac:dyDescent="0.25">
      <c r="A50" t="s">
        <v>115</v>
      </c>
      <c r="B50" s="11">
        <v>0.6</v>
      </c>
      <c r="H50" s="13" t="s">
        <v>116</v>
      </c>
    </row>
    <row r="52" spans="1:9" x14ac:dyDescent="0.25">
      <c r="A52" s="4" t="s">
        <v>117</v>
      </c>
      <c r="B52" s="5"/>
      <c r="C52" s="5"/>
      <c r="D52" s="5"/>
      <c r="E52" s="5"/>
      <c r="F52" s="5"/>
      <c r="G52" s="5"/>
      <c r="H52" s="5"/>
      <c r="I52" s="5"/>
    </row>
    <row r="53" spans="1:5" x14ac:dyDescent="0.25">
      <c r="A53" s="17" t="s">
        <v>118</v>
      </c>
      <c r="B53" s="18" t="s">
        <v>119</v>
      </c>
      <c r="C53" s="18" t="s">
        <v>120</v>
      </c>
      <c r="D53" s="18" t="s">
        <v>121</v>
      </c>
      <c r="E53" s="18" t="s">
        <v>122</v>
      </c>
    </row>
    <row r="54" spans="1:5" x14ac:dyDescent="0.25">
      <c r="A54" s="19" t="s">
        <v>66</v>
      </c>
      <c r="B54" s="20">
        <v>300000</v>
      </c>
      <c r="C54" s="21">
        <v>500000</v>
      </c>
      <c r="D54" s="20">
        <v>500000</v>
      </c>
      <c r="E54" s="20">
        <v>500000</v>
      </c>
    </row>
    <row r="55" spans="1:5" x14ac:dyDescent="0.25">
      <c r="A55" s="19" t="s">
        <v>123</v>
      </c>
      <c r="B55" s="22">
        <v>500</v>
      </c>
      <c r="C55" s="23">
        <v>1400</v>
      </c>
      <c r="D55" s="22">
        <v>1650</v>
      </c>
      <c r="E55" s="22">
        <v>1400</v>
      </c>
    </row>
    <row r="56" spans="1:5" x14ac:dyDescent="0.25">
      <c r="A56" s="19" t="s">
        <v>124</v>
      </c>
      <c r="B56" s="24">
        <v>0.04</v>
      </c>
      <c r="C56" s="25">
        <v>0.08</v>
      </c>
      <c r="D56" s="24">
        <v>0.08</v>
      </c>
      <c r="E56" s="24">
        <v>0.04</v>
      </c>
    </row>
    <row r="57" spans="1:5" x14ac:dyDescent="0.25">
      <c r="A57" s="19" t="s">
        <v>125</v>
      </c>
      <c r="B57" s="26">
        <v>4</v>
      </c>
      <c r="C57" s="27">
        <v>1.5</v>
      </c>
      <c r="D57" s="26">
        <v>1.5</v>
      </c>
      <c r="E57" s="26">
        <v>1.5</v>
      </c>
    </row>
    <row r="58" spans="1:5" x14ac:dyDescent="0.25">
      <c r="A58" s="19" t="s">
        <v>126</v>
      </c>
      <c r="B58" s="28">
        <v>20</v>
      </c>
      <c r="C58" s="29">
        <v>122</v>
      </c>
      <c r="D58" s="28">
        <v>143</v>
      </c>
      <c r="E58" s="28">
        <v>61</v>
      </c>
    </row>
    <row r="59" spans="1:5" x14ac:dyDescent="0.25">
      <c r="A59" s="19" t="s">
        <v>127</v>
      </c>
      <c r="B59" s="30">
        <v>10.3</v>
      </c>
      <c r="C59" s="31">
        <v>10.3</v>
      </c>
      <c r="D59" s="30">
        <v>10.3</v>
      </c>
      <c r="E59" s="30">
        <v>10.3</v>
      </c>
    </row>
    <row r="60" spans="1:5" x14ac:dyDescent="0.25">
      <c r="A60" s="19" t="s">
        <v>128</v>
      </c>
      <c r="B60" s="32">
        <v>0.241</v>
      </c>
      <c r="C60" s="33">
        <v>1.104</v>
      </c>
      <c r="D60" s="32">
        <v>1.109</v>
      </c>
      <c r="E60" s="32">
        <v>1.086</v>
      </c>
    </row>
    <row r="61" spans="1:5" x14ac:dyDescent="0.25">
      <c r="A61" s="19" t="s">
        <v>129</v>
      </c>
      <c r="B61" s="32">
        <v>0.033</v>
      </c>
      <c r="C61" s="33">
        <v>1.117</v>
      </c>
      <c r="D61" s="32">
        <v>1.131</v>
      </c>
      <c r="E61" s="32">
        <v>1.081</v>
      </c>
    </row>
    <row r="62" spans="1:5" x14ac:dyDescent="0.25">
      <c r="A62" s="19" t="s">
        <v>130</v>
      </c>
      <c r="B62" s="32">
        <v>0.495</v>
      </c>
      <c r="C62" s="33">
        <v>0.923</v>
      </c>
      <c r="D62" s="32">
        <v>0.997</v>
      </c>
      <c r="E62" s="32">
        <v>0.814</v>
      </c>
    </row>
    <row r="63" spans="1:5" x14ac:dyDescent="0.25">
      <c r="A63" s="19" t="s">
        <v>131</v>
      </c>
      <c r="B63" s="34" t="s">
        <v>132</v>
      </c>
      <c r="C63" s="35" t="s">
        <v>133</v>
      </c>
      <c r="D63" s="34" t="s">
        <v>134</v>
      </c>
      <c r="E63" s="34" t="s">
        <v>135</v>
      </c>
    </row>
    <row r="65" spans="1:1" x14ac:dyDescent="0.25">
      <c r="A65" s="36" t="s">
        <v>136</v>
      </c>
    </row>
    <row r="66" spans="1:1" x14ac:dyDescent="0.25">
      <c r="A66" s="36" t="s">
        <v>137</v>
      </c>
    </row>
    <row r="67" spans="1:1" x14ac:dyDescent="0.25">
      <c r="A67" s="10" t="s">
        <v>138</v>
      </c>
    </row>
    <row r="68" spans="1:1" x14ac:dyDescent="0.25">
      <c r="A68" s="10" t="s">
        <v>139</v>
      </c>
    </row>
    <row r="69" spans="1:1" x14ac:dyDescent="0.25">
      <c r="A69" s="10" t="s">
        <v>140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34" customWidth="1"/>
    <col min="2" max="4" width="17" customWidth="1"/>
    <col min="5" max="5" width="50" customWidth="1"/>
  </cols>
  <sheetData>
    <row r="1" ht="24" customHeight="1" spans="1:1" x14ac:dyDescent="0.25">
      <c r="A1" s="1" t="s">
        <v>141</v>
      </c>
    </row>
    <row r="3" spans="1:1" x14ac:dyDescent="0.25">
      <c r="A3" s="13" t="s">
        <v>142</v>
      </c>
    </row>
    <row r="4" spans="1:1" x14ac:dyDescent="0.25">
      <c r="A4" s="10" t="s">
        <v>143</v>
      </c>
    </row>
    <row r="6" spans="1:9" x14ac:dyDescent="0.25">
      <c r="A6" s="4" t="s">
        <v>144</v>
      </c>
      <c r="B6" s="5"/>
      <c r="C6" s="5"/>
      <c r="D6" s="5"/>
      <c r="E6" s="5"/>
      <c r="F6" s="5"/>
      <c r="G6" s="5"/>
      <c r="H6" s="5"/>
      <c r="I6" s="5"/>
    </row>
    <row r="7" spans="1:5" x14ac:dyDescent="0.25">
      <c r="A7" s="17" t="s">
        <v>145</v>
      </c>
      <c r="B7" s="18" t="s">
        <v>146</v>
      </c>
      <c r="C7" s="18" t="s">
        <v>147</v>
      </c>
      <c r="D7" s="18" t="s">
        <v>148</v>
      </c>
      <c r="E7" s="17" t="s">
        <v>149</v>
      </c>
    </row>
    <row r="8" spans="1:5" x14ac:dyDescent="0.25">
      <c r="A8" t="s">
        <v>150</v>
      </c>
      <c r="B8" s="37">
        <f>月次モデル!H13</f>
      </c>
      <c r="C8" s="38">
        <f>逆算とギャップ!$B$21*前提!$B$34/前提!$B$27/前提!$B$25</f>
      </c>
      <c r="D8" s="37">
        <f>B8-C8</f>
      </c>
      <c r="E8" s="13" t="s">
        <v>151</v>
      </c>
    </row>
    <row r="9" spans="1:5" x14ac:dyDescent="0.25">
      <c r="A9" s="3" t="s">
        <v>152</v>
      </c>
      <c r="B9" s="39">
        <f>月次モデル!G18</f>
      </c>
      <c r="C9" s="40">
        <f>逆算とギャップ!$B$21*前提!$B$34/前提!$B$27</f>
      </c>
      <c r="D9" s="39">
        <f>B9-C9</f>
      </c>
      <c r="E9" s="13" t="s">
        <v>153</v>
      </c>
    </row>
    <row r="10" spans="1:5" x14ac:dyDescent="0.25">
      <c r="A10" t="s">
        <v>154</v>
      </c>
      <c r="B10" s="39">
        <f>月次モデル!G20</f>
      </c>
      <c r="C10" s="40">
        <f>逆算とギャップ!$B$21*前提!$B$34</f>
      </c>
      <c r="D10" s="39">
        <f>B10-C10</f>
      </c>
      <c r="E10" s="13" t="s">
        <v>155</v>
      </c>
    </row>
    <row r="11" spans="1:5" x14ac:dyDescent="0.25">
      <c r="A11" t="s">
        <v>156</v>
      </c>
      <c r="B11" s="37">
        <f>月次モデル!H23</f>
      </c>
      <c r="C11" s="38">
        <f>逆算とギャップ!$B$21/(前提!$B$31*前提!$B$32*前提!$B$33)</f>
      </c>
      <c r="D11" s="37">
        <f>B11-C11</f>
      </c>
      <c r="E11" s="13" t="s">
        <v>157</v>
      </c>
    </row>
    <row r="12" spans="1:5" x14ac:dyDescent="0.25">
      <c r="A12" t="s">
        <v>158</v>
      </c>
      <c r="B12" s="39">
        <f>月次モデル!H25</f>
      </c>
      <c r="C12" s="40">
        <f>逆算とギャップ!$B$21/前提!$B$33</f>
      </c>
      <c r="D12" s="39">
        <f>B12-C12</f>
      </c>
      <c r="E12" s="13" t="s">
        <v>159</v>
      </c>
    </row>
    <row r="13" spans="1:5" x14ac:dyDescent="0.25">
      <c r="A13" t="s">
        <v>160</v>
      </c>
      <c r="B13" s="39">
        <f>月次モデル!G29</f>
      </c>
      <c r="C13" s="40">
        <f>逆算とギャップ!$B$21</f>
      </c>
      <c r="D13" s="39">
        <f>B13-C13</f>
      </c>
      <c r="E13" s="13" t="s">
        <v>161</v>
      </c>
    </row>
    <row r="14" spans="1:5" x14ac:dyDescent="0.25">
      <c r="A14" t="s">
        <v>162</v>
      </c>
      <c r="B14" s="39">
        <f>月次モデル!G28</f>
      </c>
      <c r="C14" s="40">
        <f>逆算とギャップ!$B$14</f>
      </c>
      <c r="D14" s="39">
        <f>B14-C14</f>
      </c>
      <c r="E14" s="13" t="s">
        <v>163</v>
      </c>
    </row>
    <row r="15" spans="1:5" x14ac:dyDescent="0.25">
      <c r="A15" t="s">
        <v>164</v>
      </c>
      <c r="B15" s="8">
        <f>月次モデル!G36</f>
      </c>
      <c r="C15" s="41">
        <f>逆算とギャップ!$B$4</f>
      </c>
      <c r="D15" s="8">
        <f>B15-C15</f>
      </c>
      <c r="E15" s="13" t="s">
        <v>165</v>
      </c>
    </row>
    <row r="16" spans="1:5" x14ac:dyDescent="0.25">
      <c r="A16" t="s">
        <v>166</v>
      </c>
      <c r="B16" s="8">
        <f>月次モデル!G35</f>
      </c>
      <c r="C16" s="41">
        <f>前提!$B$10</f>
      </c>
      <c r="D16" s="8">
        <f>B16-C16</f>
      </c>
      <c r="E16" s="13" t="s">
        <v>167</v>
      </c>
    </row>
    <row r="17" spans="1:5" x14ac:dyDescent="0.25">
      <c r="A17" t="s">
        <v>168</v>
      </c>
      <c r="B17" s="42">
        <f>逆算とギャップ!$B$7</f>
      </c>
      <c r="C17" s="43">
        <f>前提!$B$37</f>
      </c>
      <c r="D17" s="42">
        <f>B17-C17</f>
      </c>
      <c r="E17" s="13" t="s">
        <v>169</v>
      </c>
    </row>
    <row r="18" spans="1:5" x14ac:dyDescent="0.25">
      <c r="A18" t="s">
        <v>170</v>
      </c>
      <c r="B18" s="39">
        <f>IF(月次モデル!G18=0,0,月次モデル!G29/月次モデル!G18)</f>
      </c>
      <c r="E18" s="10" t="s">
        <v>171</v>
      </c>
    </row>
    <row r="20" spans="1:9" x14ac:dyDescent="0.25">
      <c r="A20" s="4" t="s">
        <v>172</v>
      </c>
      <c r="B20" s="5"/>
      <c r="C20" s="5"/>
      <c r="D20" s="5"/>
      <c r="E20" s="5"/>
      <c r="F20" s="5"/>
      <c r="G20" s="5"/>
      <c r="H20" s="5"/>
      <c r="I20" s="5"/>
    </row>
    <row r="21" spans="1:2" x14ac:dyDescent="0.25">
      <c r="A21" t="s">
        <v>173</v>
      </c>
      <c r="B21" s="44">
        <f>C8*前提!$B$45+C9*前提!$B$46+C10*前提!$B$47+C11*前提!$B$48+C12*前提!$B$49</f>
      </c>
    </row>
    <row r="22" spans="1:2" x14ac:dyDescent="0.25">
      <c r="A22" t="s">
        <v>174</v>
      </c>
      <c r="B22" s="44">
        <f>稼働キャパ!$B$6</f>
      </c>
    </row>
    <row r="23" spans="1:2" x14ac:dyDescent="0.25">
      <c r="A23" t="s">
        <v>175</v>
      </c>
      <c r="B23" s="42">
        <f>IF(B22=0,0,B21/B22)</f>
      </c>
    </row>
    <row r="24" spans="1:3" x14ac:dyDescent="0.25">
      <c r="A24" t="s">
        <v>176</v>
      </c>
      <c r="B24" s="45">
        <f>IF(B23&lt;=1,"実行可能","実行不能")</f>
      </c>
      <c r="C24">
        <f>IF(B23&lt;=1,"週"&amp;前提!$B$6&amp;"時間×"&amp;前提!$B$4&amp;"名の枠に収まる","枠を "&amp;TEXT(B23-1,"0%")&amp;" 超過。単価を上げるか人員を増やすしかない")</f>
      </c>
    </row>
    <row r="26" spans="1:1" x14ac:dyDescent="0.25">
      <c r="A26" s="36" t="s">
        <v>177</v>
      </c>
    </row>
    <row r="27" spans="1:1" x14ac:dyDescent="0.25">
      <c r="A27" s="36" t="s">
        <v>178</v>
      </c>
    </row>
    <row r="28" spans="1:1" x14ac:dyDescent="0.25">
      <c r="A28" s="10" t="s">
        <v>179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6"/>
  <sheetFormatPr defaultRowHeight="15" outlineLevelRow="0" outlineLevelCol="0" x14ac:dyDescent="55"/>
  <cols>
    <col min="1" max="1" width="34" customWidth="1"/>
    <col min="2" max="8" width="13" customWidth="1"/>
  </cols>
  <sheetData>
    <row r="1" ht="24" customHeight="1" spans="1:1" x14ac:dyDescent="0.25">
      <c r="A1" s="1" t="s">
        <v>180</v>
      </c>
    </row>
    <row r="3" spans="1:8" x14ac:dyDescent="0.25">
      <c r="A3" t="s">
        <v>97</v>
      </c>
      <c r="B3" s="15">
        <f>前提!B40</f>
      </c>
      <c r="C3" s="15">
        <f>前提!C40</f>
      </c>
      <c r="D3" s="15">
        <f>前提!D40</f>
      </c>
      <c r="E3" s="15">
        <f>前提!E40</f>
      </c>
      <c r="F3" s="15">
        <f>前提!F40</f>
      </c>
      <c r="G3" s="15">
        <f>前提!G40</f>
      </c>
      <c r="H3" s="15" t="s">
        <v>181</v>
      </c>
    </row>
    <row r="4" spans="1:7" x14ac:dyDescent="0.25">
      <c r="A4" t="s">
        <v>182</v>
      </c>
      <c r="B4" s="46">
        <v>1</v>
      </c>
      <c r="C4" s="46">
        <v>2</v>
      </c>
      <c r="D4" s="46">
        <v>3</v>
      </c>
      <c r="E4" s="46">
        <v>4</v>
      </c>
      <c r="F4" s="46">
        <v>5</v>
      </c>
      <c r="G4" s="46">
        <v>6</v>
      </c>
    </row>
    <row r="6" spans="1:9" x14ac:dyDescent="0.25">
      <c r="A6" s="4" t="s">
        <v>183</v>
      </c>
      <c r="B6" s="5"/>
      <c r="C6" s="5"/>
      <c r="D6" s="5"/>
      <c r="E6" s="5"/>
      <c r="F6" s="5"/>
      <c r="G6" s="5"/>
      <c r="H6" s="5"/>
      <c r="I6" s="5"/>
    </row>
    <row r="7" spans="1:8" x14ac:dyDescent="0.25">
      <c r="A7" t="s">
        <v>184</v>
      </c>
      <c r="B7" s="8">
        <f>前提!$B$8</f>
      </c>
      <c r="C7" s="8">
        <f>前提!$B$8</f>
      </c>
      <c r="D7" s="8">
        <f>前提!$B$8</f>
      </c>
      <c r="E7" s="8">
        <f>前提!$B$8</f>
      </c>
      <c r="F7" s="8">
        <f>前提!$B$8</f>
      </c>
      <c r="G7" s="8">
        <f>前提!$B$8</f>
      </c>
      <c r="H7" s="47">
        <f>SUM(B7:G7)</f>
      </c>
    </row>
    <row r="8" spans="1:8" x14ac:dyDescent="0.25">
      <c r="A8" t="s">
        <v>185</v>
      </c>
      <c r="B8" s="8">
        <f>前提!$B$9</f>
      </c>
      <c r="C8" s="8">
        <f>前提!$B$9</f>
      </c>
      <c r="D8" s="8">
        <f>前提!$B$9</f>
      </c>
      <c r="E8" s="8">
        <f>前提!$B$9</f>
      </c>
      <c r="F8" s="8">
        <f>前提!$B$9</f>
      </c>
      <c r="G8" s="8">
        <f>前提!$B$9</f>
      </c>
      <c r="H8" s="47">
        <f>SUM(B8:G8)</f>
      </c>
    </row>
    <row r="9" spans="1:8" x14ac:dyDescent="0.25">
      <c r="A9" s="2" t="s">
        <v>62</v>
      </c>
      <c r="B9" s="48">
        <f>B7+B8</f>
      </c>
      <c r="C9" s="48">
        <f>C7+C8</f>
      </c>
      <c r="D9" s="48">
        <f>D7+D8</f>
      </c>
      <c r="E9" s="48">
        <f>E7+E8</f>
      </c>
      <c r="F9" s="48">
        <f>F7+F8</f>
      </c>
      <c r="G9" s="48">
        <f>G7+G8</f>
      </c>
      <c r="H9" s="47">
        <f>SUM(B9:G9)</f>
      </c>
    </row>
    <row r="10" spans="1:8" x14ac:dyDescent="0.25">
      <c r="A10" t="s">
        <v>186</v>
      </c>
      <c r="B10" s="8">
        <f>SUM($B$9:B9)</f>
      </c>
      <c r="C10" s="8">
        <f>SUM($B$9:C9)</f>
      </c>
      <c r="D10" s="8">
        <f>SUM($B$9:D9)</f>
      </c>
      <c r="E10" s="8">
        <f>SUM($B$9:E9)</f>
      </c>
      <c r="F10" s="8">
        <f>SUM($B$9:F9)</f>
      </c>
      <c r="G10" s="8">
        <f>SUM($B$9:G9)</f>
      </c>
      <c r="H10" s="47">
        <f>G10</f>
      </c>
    </row>
    <row r="12" spans="1:9" x14ac:dyDescent="0.25">
      <c r="A12" s="4" t="s">
        <v>187</v>
      </c>
      <c r="B12" s="5"/>
      <c r="C12" s="5"/>
      <c r="D12" s="5"/>
      <c r="E12" s="5"/>
      <c r="F12" s="5"/>
      <c r="G12" s="5"/>
      <c r="H12" s="5"/>
      <c r="I12" s="5"/>
    </row>
    <row r="13" spans="1:8" x14ac:dyDescent="0.25">
      <c r="A13" t="s">
        <v>104</v>
      </c>
      <c r="B13" s="37">
        <f>MIN(前提!B41,前提!$B$24)</f>
      </c>
      <c r="C13" s="37">
        <f>MIN(前提!C41,MAX(0,前提!$B$24-B14))</f>
      </c>
      <c r="D13" s="37">
        <f>MIN(前提!D41,MAX(0,前提!$B$24-C14))</f>
      </c>
      <c r="E13" s="37">
        <f>MIN(前提!E41,MAX(0,前提!$B$24-D14))</f>
      </c>
      <c r="F13" s="37">
        <f>MIN(前提!F41,MAX(0,前提!$B$24-E14))</f>
      </c>
      <c r="G13" s="37">
        <f>MIN(前提!G41,MAX(0,前提!$B$24-F14))</f>
      </c>
      <c r="H13" s="49">
        <f>SUM(B13:G13)</f>
      </c>
    </row>
    <row r="14" spans="1:8" x14ac:dyDescent="0.25">
      <c r="A14" t="s">
        <v>188</v>
      </c>
      <c r="B14" s="37">
        <f>SUM($B$13:B13)</f>
      </c>
      <c r="C14" s="37">
        <f>SUM($B$13:C13)</f>
      </c>
      <c r="D14" s="37">
        <f>SUM($B$13:D13)</f>
      </c>
      <c r="E14" s="37">
        <f>SUM($B$13:E13)</f>
      </c>
      <c r="F14" s="37">
        <f>SUM($B$13:F13)</f>
      </c>
      <c r="G14" s="37">
        <f>SUM($B$13:G13)</f>
      </c>
      <c r="H14" s="49">
        <f>G14</f>
      </c>
    </row>
    <row r="15" spans="1:8" x14ac:dyDescent="0.25">
      <c r="A15" t="s">
        <v>189</v>
      </c>
      <c r="B15" s="39">
        <f>B13*前提!$B$25</f>
      </c>
      <c r="C15" s="39">
        <f>C13*前提!$B$25</f>
      </c>
      <c r="D15" s="39">
        <f>D13*前提!$B$25</f>
      </c>
      <c r="E15" s="39">
        <f>E13*前提!$B$25</f>
      </c>
      <c r="F15" s="39">
        <f>F13*前提!$B$25</f>
      </c>
      <c r="G15" s="39">
        <f>G13*前提!$B$25</f>
      </c>
      <c r="H15" s="50">
        <f>SUM(B15:G15)</f>
      </c>
    </row>
    <row r="16" spans="1:8" x14ac:dyDescent="0.25">
      <c r="A16" t="s">
        <v>190</v>
      </c>
      <c r="B16" s="39">
        <f>0</f>
      </c>
      <c r="C16" s="39">
        <f>B18*前提!$B$26</f>
      </c>
      <c r="D16" s="39">
        <f>C18*前提!$B$26</f>
      </c>
      <c r="E16" s="39">
        <f>D18*前提!$B$26</f>
      </c>
      <c r="F16" s="39">
        <f>E18*前提!$B$26</f>
      </c>
      <c r="G16" s="39">
        <f>F18*前提!$B$26</f>
      </c>
      <c r="H16" s="50">
        <f>SUM(B16:G16)</f>
      </c>
    </row>
    <row r="17" spans="1:8" x14ac:dyDescent="0.25">
      <c r="A17" t="s">
        <v>191</v>
      </c>
      <c r="B17" s="39">
        <f>B15+B16</f>
      </c>
      <c r="C17" s="39">
        <f>C15+C16</f>
      </c>
      <c r="D17" s="39">
        <f>D15+D16</f>
      </c>
      <c r="E17" s="39">
        <f>E15+E16</f>
      </c>
      <c r="F17" s="39">
        <f>F15+F16</f>
      </c>
      <c r="G17" s="39">
        <f>G15+G16</f>
      </c>
      <c r="H17" s="50">
        <f>SUM(B17:G17)</f>
      </c>
    </row>
    <row r="18" spans="1:8" x14ac:dyDescent="0.25">
      <c r="A18" s="2" t="s">
        <v>192</v>
      </c>
      <c r="B18" s="51">
        <f>B17</f>
      </c>
      <c r="C18" s="51">
        <f>B18+C17</f>
      </c>
      <c r="D18" s="51">
        <f>C18+D17</f>
      </c>
      <c r="E18" s="51">
        <f>D18+E17</f>
      </c>
      <c r="F18" s="51">
        <f>E18+F17</f>
      </c>
      <c r="G18" s="51">
        <f>F18+G17</f>
      </c>
      <c r="H18" s="50">
        <f>G18</f>
      </c>
    </row>
    <row r="19" spans="1:8" x14ac:dyDescent="0.25">
      <c r="A19" t="s">
        <v>193</v>
      </c>
      <c r="B19" s="39">
        <f>B17*前提!$B$27</f>
      </c>
      <c r="C19" s="39">
        <f>C17*前提!$B$27</f>
      </c>
      <c r="D19" s="39">
        <f>D17*前提!$B$27</f>
      </c>
      <c r="E19" s="39">
        <f>E17*前提!$B$27</f>
      </c>
      <c r="F19" s="39">
        <f>F17*前提!$B$27</f>
      </c>
      <c r="G19" s="39">
        <f>G17*前提!$B$27</f>
      </c>
      <c r="H19" s="50">
        <f>SUM(B19:G19)</f>
      </c>
    </row>
    <row r="20" spans="1:8" x14ac:dyDescent="0.25">
      <c r="A20" s="2" t="s">
        <v>194</v>
      </c>
      <c r="B20" s="51">
        <f>B19</f>
      </c>
      <c r="C20" s="51">
        <f>B20*前提!$B$28+C19</f>
      </c>
      <c r="D20" s="51">
        <f>C20*前提!$B$28+D19</f>
      </c>
      <c r="E20" s="51">
        <f>D20*前提!$B$28+E19</f>
      </c>
      <c r="F20" s="51">
        <f>E20*前提!$B$28+F19</f>
      </c>
      <c r="G20" s="51">
        <f>F20*前提!$B$28+G19</f>
      </c>
      <c r="H20" s="50">
        <f>G20</f>
      </c>
    </row>
    <row r="22" spans="1:9" x14ac:dyDescent="0.25">
      <c r="A22" s="4" t="s">
        <v>87</v>
      </c>
      <c r="B22" s="5"/>
      <c r="C22" s="5"/>
      <c r="D22" s="5"/>
      <c r="E22" s="5"/>
      <c r="F22" s="5"/>
      <c r="G22" s="5"/>
      <c r="H22" s="5"/>
      <c r="I22" s="5"/>
    </row>
    <row r="23" spans="1:8" x14ac:dyDescent="0.25">
      <c r="A23" t="s">
        <v>105</v>
      </c>
      <c r="B23" s="37">
        <f>前提!B42</f>
      </c>
      <c r="C23" s="37">
        <f>前提!C42</f>
      </c>
      <c r="D23" s="37">
        <f>前提!D42</f>
      </c>
      <c r="E23" s="37">
        <f>前提!E42</f>
      </c>
      <c r="F23" s="37">
        <f>前提!F42</f>
      </c>
      <c r="G23" s="37">
        <f>前提!G42</f>
      </c>
      <c r="H23" s="49">
        <f>SUM(B23:G23)</f>
      </c>
    </row>
    <row r="24" spans="1:8" x14ac:dyDescent="0.25">
      <c r="A24" t="s">
        <v>195</v>
      </c>
      <c r="B24" s="39">
        <f>B23*前提!$B$31</f>
      </c>
      <c r="C24" s="39">
        <f>C23*前提!$B$31</f>
      </c>
      <c r="D24" s="39">
        <f>D23*前提!$B$31</f>
      </c>
      <c r="E24" s="39">
        <f>E23*前提!$B$31</f>
      </c>
      <c r="F24" s="39">
        <f>F23*前提!$B$31</f>
      </c>
      <c r="G24" s="39">
        <f>G23*前提!$B$31</f>
      </c>
      <c r="H24" s="50">
        <f>SUM(B24:G24)</f>
      </c>
    </row>
    <row r="25" spans="1:8" x14ac:dyDescent="0.25">
      <c r="A25" t="s">
        <v>196</v>
      </c>
      <c r="B25" s="39">
        <f>B24*前提!$B$32</f>
      </c>
      <c r="C25" s="39">
        <f>C24*前提!$B$32</f>
      </c>
      <c r="D25" s="39">
        <f>D24*前提!$B$32</f>
      </c>
      <c r="E25" s="39">
        <f>E24*前提!$B$32</f>
      </c>
      <c r="F25" s="39">
        <f>F24*前提!$B$32</f>
      </c>
      <c r="G25" s="39">
        <f>G24*前提!$B$32</f>
      </c>
      <c r="H25" s="50">
        <f>SUM(B25:G25)</f>
      </c>
    </row>
    <row r="26" spans="1:8" x14ac:dyDescent="0.25">
      <c r="A26" t="s">
        <v>197</v>
      </c>
      <c r="B26" s="39">
        <f>B25*前提!$B$33</f>
      </c>
      <c r="C26" s="39">
        <f>C25*前提!$B$33</f>
      </c>
      <c r="D26" s="39">
        <f>D25*前提!$B$33</f>
      </c>
      <c r="E26" s="39">
        <f>E25*前提!$B$33</f>
      </c>
      <c r="F26" s="39">
        <f>F25*前提!$B$33</f>
      </c>
      <c r="G26" s="39">
        <f>G25*前提!$B$33</f>
      </c>
      <c r="H26" s="50">
        <f>SUM(B26:G26)</f>
      </c>
    </row>
    <row r="27" spans="1:8" x14ac:dyDescent="0.25">
      <c r="A27" t="s">
        <v>198</v>
      </c>
      <c r="B27" s="39">
        <f>B20/前提!$B$34</f>
      </c>
      <c r="C27" s="39">
        <f>C20/前提!$B$34</f>
      </c>
      <c r="D27" s="39">
        <f>D20/前提!$B$34</f>
      </c>
      <c r="E27" s="39">
        <f>E20/前提!$B$34</f>
      </c>
      <c r="F27" s="39">
        <f>F20/前提!$B$34</f>
      </c>
      <c r="G27" s="39">
        <f>G20/前提!$B$34</f>
      </c>
      <c r="H27" s="52" t="s">
        <v>199</v>
      </c>
    </row>
    <row r="28" spans="1:8" x14ac:dyDescent="0.25">
      <c r="A28" s="2" t="s">
        <v>200</v>
      </c>
      <c r="B28" s="51">
        <f>MIN(B26,B27)</f>
      </c>
      <c r="C28" s="51">
        <f>MIN(C26,C27)</f>
      </c>
      <c r="D28" s="51">
        <f>MIN(D26,D27)</f>
      </c>
      <c r="E28" s="51">
        <f>MIN(E26,E27)</f>
      </c>
      <c r="F28" s="51">
        <f>MIN(F26,F27)</f>
      </c>
      <c r="G28" s="51">
        <f>MIN(G26,G27)</f>
      </c>
      <c r="H28" s="50">
        <f>SUM(B28:G28)</f>
      </c>
    </row>
    <row r="29" spans="1:8" x14ac:dyDescent="0.25">
      <c r="A29" s="2" t="s">
        <v>201</v>
      </c>
      <c r="B29" s="51">
        <f>SUM($B$28:B28)</f>
      </c>
      <c r="C29" s="51">
        <f>SUM($B$28:C28)</f>
      </c>
      <c r="D29" s="51">
        <f>SUM($B$28:D28)</f>
      </c>
      <c r="E29" s="51">
        <f>SUM($B$28:E28)</f>
      </c>
      <c r="F29" s="51">
        <f>SUM($B$28:F28)</f>
      </c>
      <c r="G29" s="51">
        <f>SUM($B$28:G28)</f>
      </c>
      <c r="H29" s="50">
        <f>G29</f>
      </c>
    </row>
    <row r="31" spans="1:9" x14ac:dyDescent="0.25">
      <c r="A31" s="4" t="s">
        <v>202</v>
      </c>
      <c r="B31" s="5"/>
      <c r="C31" s="5"/>
      <c r="D31" s="5"/>
      <c r="E31" s="5"/>
      <c r="F31" s="5"/>
      <c r="G31" s="5"/>
      <c r="H31" s="5"/>
      <c r="I31" s="5"/>
    </row>
    <row r="32" spans="1:8" x14ac:dyDescent="0.25">
      <c r="A32" t="s">
        <v>203</v>
      </c>
      <c r="B32" s="8">
        <f>B28*前提!$B$17</f>
      </c>
      <c r="C32" s="8">
        <f>C28*前提!$B$17</f>
      </c>
      <c r="D32" s="8">
        <f>D28*前提!$B$17</f>
      </c>
      <c r="E32" s="8">
        <f>E28*前提!$B$17</f>
      </c>
      <c r="F32" s="8">
        <f>F28*前提!$B$17</f>
      </c>
      <c r="G32" s="8">
        <f>G28*前提!$B$17</f>
      </c>
      <c r="H32" s="47">
        <f>SUM(B32:G32)</f>
      </c>
    </row>
    <row r="33" spans="1:8" x14ac:dyDescent="0.25">
      <c r="A33" t="s">
        <v>204</v>
      </c>
      <c r="B33" s="8">
        <f>IF(B$4&gt;=前提!$B$20,B20*前提!$B$19*前提!$B$18,0)</f>
      </c>
      <c r="C33" s="8">
        <f>IF(C$4&gt;=前提!$B$20,C20*前提!$B$19*前提!$B$18,0)</f>
      </c>
      <c r="D33" s="8">
        <f>IF(D$4&gt;=前提!$B$20,D20*前提!$B$19*前提!$B$18,0)</f>
      </c>
      <c r="E33" s="8">
        <f>IF(E$4&gt;=前提!$B$20,E20*前提!$B$19*前提!$B$18,0)</f>
      </c>
      <c r="F33" s="8">
        <f>IF(F$4&gt;=前提!$B$20,F20*前提!$B$19*前提!$B$18,0)</f>
      </c>
      <c r="G33" s="8">
        <f>IF(G$4&gt;=前提!$B$20,G20*前提!$B$19*前提!$B$18,0)</f>
      </c>
      <c r="H33" s="47">
        <f>SUM(B33:G33)</f>
      </c>
    </row>
    <row r="34" spans="1:8" x14ac:dyDescent="0.25">
      <c r="A34" t="s">
        <v>205</v>
      </c>
      <c r="B34" s="8">
        <f>前提!$B$21</f>
      </c>
      <c r="C34" s="8">
        <f>前提!$B$21</f>
      </c>
      <c r="D34" s="8">
        <f>前提!$B$21</f>
      </c>
      <c r="E34" s="8">
        <f>前提!$B$21</f>
      </c>
      <c r="F34" s="8">
        <f>前提!$B$21</f>
      </c>
      <c r="G34" s="8">
        <f>前提!$B$21</f>
      </c>
      <c r="H34" s="47">
        <f>SUM(B34:G34)</f>
      </c>
    </row>
    <row r="35" spans="1:8" x14ac:dyDescent="0.25">
      <c r="A35" s="2" t="s">
        <v>206</v>
      </c>
      <c r="B35" s="48">
        <f>SUM(B32:B34)</f>
      </c>
      <c r="C35" s="48">
        <f>SUM(C32:C34)</f>
      </c>
      <c r="D35" s="48">
        <f>SUM(D32:D34)</f>
      </c>
      <c r="E35" s="48">
        <f>SUM(E32:E34)</f>
      </c>
      <c r="F35" s="48">
        <f>SUM(F32:F34)</f>
      </c>
      <c r="G35" s="48">
        <f>SUM(G32:G34)</f>
      </c>
      <c r="H35" s="47">
        <f>SUM(B35:G35)</f>
      </c>
    </row>
    <row r="36" spans="1:8" x14ac:dyDescent="0.25">
      <c r="A36" s="2" t="s">
        <v>164</v>
      </c>
      <c r="B36" s="48">
        <f>SUM($B$35:B35)</f>
      </c>
      <c r="C36" s="48">
        <f>SUM($B$35:C35)</f>
      </c>
      <c r="D36" s="48">
        <f>SUM($B$35:D35)</f>
      </c>
      <c r="E36" s="48">
        <f>SUM($B$35:E35)</f>
      </c>
      <c r="F36" s="48">
        <f>SUM($B$35:F35)</f>
      </c>
      <c r="G36" s="48">
        <f>SUM($B$35:G35)</f>
      </c>
      <c r="H36" s="47">
        <f>G36</f>
      </c>
    </row>
    <row r="38" spans="1:9" x14ac:dyDescent="0.25">
      <c r="A38" s="4" t="s">
        <v>207</v>
      </c>
      <c r="B38" s="5"/>
      <c r="C38" s="5"/>
      <c r="D38" s="5"/>
      <c r="E38" s="5"/>
      <c r="F38" s="5"/>
      <c r="G38" s="5"/>
      <c r="H38" s="5"/>
      <c r="I38" s="5"/>
    </row>
    <row r="39" spans="1:8" x14ac:dyDescent="0.25">
      <c r="A39" t="s">
        <v>208</v>
      </c>
      <c r="B39" s="8">
        <f>B35-B9</f>
      </c>
      <c r="C39" s="8">
        <f>C35-C9</f>
      </c>
      <c r="D39" s="8">
        <f>D35-D9</f>
      </c>
      <c r="E39" s="8">
        <f>E35-E9</f>
      </c>
      <c r="F39" s="8">
        <f>F35-F9</f>
      </c>
      <c r="G39" s="8">
        <f>G35-G9</f>
      </c>
      <c r="H39" s="47">
        <f>G40</f>
      </c>
    </row>
    <row r="40" spans="1:8" x14ac:dyDescent="0.25">
      <c r="A40" s="2" t="s">
        <v>209</v>
      </c>
      <c r="B40" s="48">
        <f>B36-B10</f>
      </c>
      <c r="C40" s="48">
        <f>C36-C10</f>
      </c>
      <c r="D40" s="48">
        <f>D36-D10</f>
      </c>
      <c r="E40" s="48">
        <f>E36-E10</f>
      </c>
      <c r="F40" s="48">
        <f>F36-F10</f>
      </c>
      <c r="G40" s="48">
        <f>G36-G10</f>
      </c>
      <c r="H40" s="47">
        <f>G40</f>
      </c>
    </row>
    <row r="41" spans="1:8" x14ac:dyDescent="0.25">
      <c r="A41" s="2" t="s">
        <v>168</v>
      </c>
      <c r="B41" s="53">
        <f>IF(B10=0,0,B36/B10)</f>
      </c>
      <c r="C41" s="53">
        <f>IF(C10=0,0,C36/C10)</f>
      </c>
      <c r="D41" s="53">
        <f>IF(D10=0,0,D36/D10)</f>
      </c>
      <c r="E41" s="53">
        <f>IF(E10=0,0,E36/E10)</f>
      </c>
      <c r="F41" s="53">
        <f>IF(F10=0,0,F36/F10)</f>
      </c>
      <c r="G41" s="53">
        <f>IF(G10=0,0,G36/G10)</f>
      </c>
      <c r="H41" s="54">
        <f>G41</f>
      </c>
    </row>
    <row r="42" spans="1:8" x14ac:dyDescent="0.25">
      <c r="A42" t="s">
        <v>210</v>
      </c>
      <c r="B42" s="55">
        <f>IF(B39&gt;=0,"黒字","赤字")</f>
      </c>
      <c r="C42" s="55">
        <f>IF(C39&gt;=0,"黒字","赤字")</f>
      </c>
      <c r="D42" s="55">
        <f>IF(D39&gt;=0,"黒字","赤字")</f>
      </c>
      <c r="E42" s="55">
        <f>IF(E39&gt;=0,"黒字","赤字")</f>
      </c>
      <c r="F42" s="55">
        <f>IF(F39&gt;=0,"黒字","赤字")</f>
      </c>
      <c r="G42" s="55">
        <f>IF(G39&gt;=0,"黒字","赤字")</f>
      </c>
      <c r="H42" s="56">
        <f>IF(G39&gt;=0,"黒字","赤字")</f>
      </c>
    </row>
    <row r="44" spans="1:1" x14ac:dyDescent="0.25">
      <c r="A44" s="36" t="s">
        <v>211</v>
      </c>
    </row>
    <row r="45" spans="1:1" x14ac:dyDescent="0.25">
      <c r="A45" s="36" t="s">
        <v>212</v>
      </c>
    </row>
    <row r="46" spans="1:1" x14ac:dyDescent="0.25">
      <c r="A46" s="10" t="s">
        <v>213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46" customWidth="1"/>
    <col min="2" max="2" width="18" customWidth="1"/>
    <col min="3" max="3" width="54" customWidth="1"/>
  </cols>
  <sheetData>
    <row r="1" ht="24" customHeight="1" spans="1:1" x14ac:dyDescent="0.25">
      <c r="A1" s="1" t="s">
        <v>214</v>
      </c>
    </row>
    <row r="3" spans="1:9" x14ac:dyDescent="0.25">
      <c r="A3" s="4" t="s">
        <v>215</v>
      </c>
      <c r="B3" s="5"/>
      <c r="C3" s="5"/>
      <c r="D3" s="5"/>
      <c r="E3" s="5"/>
      <c r="F3" s="5"/>
      <c r="G3" s="5"/>
      <c r="H3" s="5"/>
      <c r="I3" s="5"/>
    </row>
    <row r="4" spans="1:3" x14ac:dyDescent="0.25">
      <c r="A4" t="s">
        <v>216</v>
      </c>
      <c r="B4" s="8">
        <f>前提!$B$12*前提!$B$37</f>
      </c>
      <c r="C4" s="13" t="s">
        <v>217</v>
      </c>
    </row>
    <row r="5" spans="1:3" x14ac:dyDescent="0.25">
      <c r="A5" t="s">
        <v>218</v>
      </c>
      <c r="B5" s="8">
        <f>月次モデル!G36</f>
      </c>
      <c r="C5" s="13" t="s">
        <v>219</v>
      </c>
    </row>
    <row r="6" spans="1:3" x14ac:dyDescent="0.25">
      <c r="A6" t="s">
        <v>220</v>
      </c>
      <c r="B6" s="8">
        <f>B4-B5</f>
      </c>
      <c r="C6" s="13" t="s">
        <v>221</v>
      </c>
    </row>
    <row r="7" spans="1:3" x14ac:dyDescent="0.25">
      <c r="A7" t="s">
        <v>168</v>
      </c>
      <c r="B7" s="57">
        <f>IF(B4=0,0,B5/B4)</f>
      </c>
      <c r="C7" s="13" t="s">
        <v>222</v>
      </c>
    </row>
    <row r="9" spans="1:9" x14ac:dyDescent="0.25">
      <c r="A9" s="4" t="s">
        <v>223</v>
      </c>
      <c r="B9" s="5"/>
      <c r="C9" s="5"/>
      <c r="D9" s="5"/>
      <c r="E9" s="5"/>
      <c r="F9" s="5"/>
      <c r="G9" s="5"/>
      <c r="H9" s="5"/>
      <c r="I9" s="5"/>
    </row>
    <row r="10" spans="1:3" x14ac:dyDescent="0.25">
      <c r="A10" t="s">
        <v>224</v>
      </c>
      <c r="B10" s="8">
        <f>前提!$B$10</f>
      </c>
      <c r="C10" s="13" t="s">
        <v>225</v>
      </c>
    </row>
    <row r="11" spans="1:3" x14ac:dyDescent="0.25">
      <c r="A11" t="s">
        <v>226</v>
      </c>
      <c r="B11" s="8">
        <f>月次モデル!G35</f>
      </c>
      <c r="C11" s="13" t="s">
        <v>1</v>
      </c>
    </row>
    <row r="12" spans="1:3" x14ac:dyDescent="0.25">
      <c r="A12" t="s">
        <v>220</v>
      </c>
      <c r="B12" s="8">
        <f>B10-B11</f>
      </c>
      <c r="C12" s="13" t="s">
        <v>1</v>
      </c>
    </row>
    <row r="13" spans="1:3" x14ac:dyDescent="0.25">
      <c r="A13" t="s">
        <v>227</v>
      </c>
      <c r="B13" s="57">
        <f>IF(B10=0,0,B11/B10)</f>
      </c>
      <c r="C13" s="13" t="s">
        <v>228</v>
      </c>
    </row>
    <row r="14" spans="1:3" x14ac:dyDescent="0.25">
      <c r="A14" t="s">
        <v>229</v>
      </c>
      <c r="B14" s="39">
        <f>B10/前提!$B$17</f>
      </c>
      <c r="C14" s="13" t="s">
        <v>230</v>
      </c>
    </row>
    <row r="16" spans="1:9" x14ac:dyDescent="0.25">
      <c r="A16" s="4" t="s">
        <v>231</v>
      </c>
      <c r="B16" s="5"/>
      <c r="C16" s="5"/>
      <c r="D16" s="5"/>
      <c r="E16" s="5"/>
      <c r="F16" s="5"/>
      <c r="G16" s="5"/>
      <c r="H16" s="5"/>
      <c r="I16" s="5"/>
    </row>
    <row r="17" spans="1:2" x14ac:dyDescent="0.25">
      <c r="A17" t="s">
        <v>232</v>
      </c>
      <c r="B17" s="8">
        <f>SUM(月次モデル!B33:G33)+SUM(月次モデル!B34:G34)</f>
      </c>
    </row>
    <row r="18" spans="1:2" x14ac:dyDescent="0.25">
      <c r="A18" t="s">
        <v>233</v>
      </c>
      <c r="B18" s="8">
        <f>B4-B17</f>
      </c>
    </row>
    <row r="19" spans="1:2" x14ac:dyDescent="0.25">
      <c r="A19" t="s">
        <v>234</v>
      </c>
      <c r="B19" s="39">
        <f>月次モデル!G29</f>
      </c>
    </row>
    <row r="21" spans="1:3" x14ac:dyDescent="0.25">
      <c r="A21" t="s">
        <v>235</v>
      </c>
      <c r="B21" s="39">
        <f>B18/前提!$B$17</f>
      </c>
      <c r="C21" s="13" t="s">
        <v>236</v>
      </c>
    </row>
    <row r="22" spans="1:3" x14ac:dyDescent="0.25">
      <c r="A22" t="s">
        <v>237</v>
      </c>
      <c r="B22" s="58">
        <f>IF(B19=0,0,B21/B19)</f>
      </c>
      <c r="C22" s="13" t="s">
        <v>238</v>
      </c>
    </row>
    <row r="23" spans="1:3" x14ac:dyDescent="0.25">
      <c r="A23" t="s">
        <v>239</v>
      </c>
      <c r="B23" s="8">
        <f>IF(B19=0,0,B18/(B19*前提!$B$16))</f>
      </c>
      <c r="C23" s="13" t="s">
        <v>240</v>
      </c>
    </row>
    <row r="24" spans="1:3" x14ac:dyDescent="0.25">
      <c r="A24" t="s">
        <v>237</v>
      </c>
      <c r="B24" s="58">
        <f>IF(前提!$B$15=0,0,B23/前提!$B$15)</f>
      </c>
      <c r="C24" s="13" t="s">
        <v>1</v>
      </c>
    </row>
    <row r="25" spans="1:3" x14ac:dyDescent="0.25">
      <c r="A25" t="s">
        <v>241</v>
      </c>
      <c r="B25" s="42">
        <f>IF(B19=0,0,B18/(B19*前提!$B$15))</f>
      </c>
      <c r="C25" s="13" t="s">
        <v>242</v>
      </c>
    </row>
    <row r="26" spans="1:3" x14ac:dyDescent="0.25">
      <c r="A26" t="s">
        <v>243</v>
      </c>
      <c r="B26" s="39">
        <f>IF(前提!$B$18=0,0,MAX(0,(B4-SUM(月次モデル!B32:G32))/(前提!$B$18*前提!$B$11)))</f>
      </c>
      <c r="C26" s="13" t="s">
        <v>244</v>
      </c>
    </row>
    <row r="28" spans="1:9" x14ac:dyDescent="0.25">
      <c r="A28" s="4" t="s">
        <v>245</v>
      </c>
      <c r="B28" s="5"/>
      <c r="C28" s="5"/>
      <c r="D28" s="5"/>
      <c r="E28" s="5"/>
      <c r="F28" s="5"/>
      <c r="G28" s="5"/>
      <c r="H28" s="5"/>
      <c r="I28" s="5"/>
    </row>
    <row r="29" spans="1:3" x14ac:dyDescent="0.25">
      <c r="A29" t="s">
        <v>246</v>
      </c>
      <c r="B29" s="45">
        <f>IF(B7&gt;=前提!$B$37,"達成","未達")</f>
      </c>
      <c r="C29">
        <f>IF(B7&gt;=前提!$B$37,"この前提なら1月末に投資を回収できる","不足額 "&amp;TEXT(B6,"¥#,##0")&amp;"。上の①〜④のどれで埋めるかを決める")</f>
      </c>
    </row>
    <row r="30" spans="1:3" x14ac:dyDescent="0.25">
      <c r="A30" t="s">
        <v>247</v>
      </c>
      <c r="B30" s="45">
        <f>IF(B13&gt;=1,"達成","未達")</f>
      </c>
      <c r="C30">
        <f>IF(B13&gt;=1,"1月時点で自走できる","1月に案件が "&amp;TEXT(B14,"0.0")&amp;" 件必要。いまの見込みは "&amp;TEXT(月次モデル!G28,"0.0")&amp;" 件")</f>
      </c>
    </row>
    <row r="32" spans="1:1" x14ac:dyDescent="0.25">
      <c r="A32" s="10" t="s">
        <v>248</v>
      </c>
    </row>
    <row r="33" spans="1:1" x14ac:dyDescent="0.25">
      <c r="A33" s="36" t="s">
        <v>249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42" customWidth="1"/>
    <col min="2" max="2" width="16" customWidth="1"/>
    <col min="3" max="3" width="56" customWidth="1"/>
  </cols>
  <sheetData>
    <row r="1" ht="24" customHeight="1" spans="1:1" x14ac:dyDescent="0.25">
      <c r="A1" s="1" t="s">
        <v>250</v>
      </c>
    </row>
    <row r="3" spans="1:9" x14ac:dyDescent="0.25">
      <c r="A3" s="4" t="s">
        <v>251</v>
      </c>
      <c r="B3" s="5"/>
      <c r="C3" s="5"/>
      <c r="D3" s="5"/>
      <c r="E3" s="5"/>
      <c r="F3" s="5"/>
      <c r="G3" s="5"/>
      <c r="H3" s="5"/>
      <c r="I3" s="5"/>
    </row>
    <row r="4" spans="1:3" x14ac:dyDescent="0.25">
      <c r="A4" t="s">
        <v>252</v>
      </c>
      <c r="B4" s="44">
        <f>前提!$B$4*前提!$B$6*前提!$B$7</f>
      </c>
      <c r="C4" s="13" t="s">
        <v>1</v>
      </c>
    </row>
    <row r="5" spans="1:3" x14ac:dyDescent="0.25">
      <c r="A5" t="s">
        <v>253</v>
      </c>
      <c r="B5" s="44">
        <f>B4*前提!$B$11</f>
      </c>
      <c r="C5" s="13" t="s">
        <v>1</v>
      </c>
    </row>
    <row r="6" spans="1:3" x14ac:dyDescent="0.25">
      <c r="A6" t="s">
        <v>254</v>
      </c>
      <c r="B6" s="44">
        <f>B5*前提!$B$50</f>
      </c>
      <c r="C6" s="13" t="s">
        <v>116</v>
      </c>
    </row>
    <row r="8" spans="1:9" x14ac:dyDescent="0.25">
      <c r="A8" s="4" t="s">
        <v>255</v>
      </c>
      <c r="B8" s="5"/>
      <c r="C8" s="5"/>
      <c r="D8" s="5"/>
      <c r="E8" s="5"/>
      <c r="F8" s="5"/>
      <c r="G8" s="5"/>
      <c r="H8" s="5"/>
      <c r="I8" s="5"/>
    </row>
    <row r="9" spans="1:2" x14ac:dyDescent="0.25">
      <c r="A9" t="s">
        <v>256</v>
      </c>
      <c r="B9" s="44">
        <f>SUM(月次モデル!B13:G13)*前提!$B$45</f>
      </c>
    </row>
    <row r="10" spans="1:2" x14ac:dyDescent="0.25">
      <c r="A10" t="s">
        <v>257</v>
      </c>
      <c r="B10" s="44">
        <f>月次モデル!G18*前提!$B$46</f>
      </c>
    </row>
    <row r="11" spans="1:2" x14ac:dyDescent="0.25">
      <c r="A11" t="s">
        <v>258</v>
      </c>
      <c r="B11" s="44">
        <f>SUM(月次モデル!B19:G19)*前提!$B$47</f>
      </c>
    </row>
    <row r="12" spans="1:2" x14ac:dyDescent="0.25">
      <c r="A12" t="s">
        <v>259</v>
      </c>
      <c r="B12" s="44">
        <f>SUM(前提!B42:G42)*前提!$B$48</f>
      </c>
    </row>
    <row r="13" spans="1:2" x14ac:dyDescent="0.25">
      <c r="A13" t="s">
        <v>196</v>
      </c>
      <c r="B13" s="44">
        <f>SUM(月次モデル!B25:G25)*前提!$B$49</f>
      </c>
    </row>
    <row r="14" spans="1:2" x14ac:dyDescent="0.25">
      <c r="A14" t="s">
        <v>260</v>
      </c>
      <c r="B14" s="59">
        <f>SUM(B9:B13)</f>
      </c>
    </row>
    <row r="15" spans="1:2" x14ac:dyDescent="0.25">
      <c r="A15" t="s">
        <v>261</v>
      </c>
      <c r="B15" s="44">
        <f>B6-B14</f>
      </c>
    </row>
    <row r="16" spans="1:2" x14ac:dyDescent="0.25">
      <c r="A16" t="s">
        <v>262</v>
      </c>
      <c r="B16" s="42">
        <f>IF(B6=0,0,B14/B6)</f>
      </c>
    </row>
    <row r="17" spans="1:3" x14ac:dyDescent="0.25">
      <c r="A17" t="s">
        <v>176</v>
      </c>
      <c r="B17" s="45">
        <f>IF(B16&lt;=1,"収まる","超過")</f>
      </c>
      <c r="C17">
        <f>IF(B16&lt;=1,"あと "&amp;TEXT(B15,"0")&amp;" 時間の余力がある","超過 "&amp;TEXT(-B15,"0")&amp;" 時間。投下量を減らすか、人員・稼働時間を増やす")</f>
      </c>
    </row>
    <row r="19" spans="1:1" x14ac:dyDescent="0.25">
      <c r="A19" s="10" t="s">
        <v>263</v>
      </c>
    </row>
    <row r="20" spans="1:1" x14ac:dyDescent="0.25">
      <c r="A20" s="10" t="s">
        <v>264</v>
      </c>
    </row>
    <row r="21" spans="1:1" x14ac:dyDescent="0.25">
      <c r="A21" s="36" t="s">
        <v>265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18"/>
  <sheetFormatPr defaultRowHeight="15" outlineLevelRow="0" outlineLevelCol="0" x14ac:dyDescent="55"/>
  <cols>
    <col min="1" max="1" width="22" customWidth="1"/>
    <col min="2" max="2" width="16" customWidth="1"/>
    <col min="3" max="12" width="10" customWidth="1"/>
  </cols>
  <sheetData>
    <row r="1" ht="24" customHeight="1" spans="1:1" x14ac:dyDescent="0.25">
      <c r="A1" s="1" t="s">
        <v>266</v>
      </c>
    </row>
    <row r="3" spans="1:1" x14ac:dyDescent="0.25">
      <c r="A3" s="13" t="s">
        <v>267</v>
      </c>
    </row>
    <row r="4" spans="1:1" x14ac:dyDescent="0.25">
      <c r="A4" s="13" t="s">
        <v>268</v>
      </c>
    </row>
    <row r="6" spans="2:12" x14ac:dyDescent="0.25">
      <c r="B6" s="60" t="s">
        <v>269</v>
      </c>
      <c r="C6" s="18">
        <v>2</v>
      </c>
      <c r="D6" s="18">
        <v>4</v>
      </c>
      <c r="E6" s="18">
        <v>6</v>
      </c>
      <c r="F6" s="18">
        <v>8</v>
      </c>
      <c r="G6" s="18">
        <v>10</v>
      </c>
      <c r="H6" s="18">
        <v>12</v>
      </c>
      <c r="I6" s="18">
        <v>14</v>
      </c>
      <c r="J6" s="18">
        <v>16</v>
      </c>
      <c r="K6" s="18">
        <v>18</v>
      </c>
      <c r="L6" s="18">
        <v>20</v>
      </c>
    </row>
    <row r="7" spans="2:12" x14ac:dyDescent="0.25">
      <c r="B7" s="61">
        <v>100000</v>
      </c>
      <c r="C7" s="62">
        <f>$B7*C$6*前提!$B$16/前提!$B$12</f>
      </c>
      <c r="D7" s="62">
        <f>$B7*D$6*前提!$B$16/前提!$B$12</f>
      </c>
      <c r="E7" s="62">
        <f>$B7*E$6*前提!$B$16/前提!$B$12</f>
      </c>
      <c r="F7" s="62">
        <f>$B7*F$6*前提!$B$16/前提!$B$12</f>
      </c>
      <c r="G7" s="62">
        <f>$B7*G$6*前提!$B$16/前提!$B$12</f>
      </c>
      <c r="H7" s="62">
        <f>$B7*H$6*前提!$B$16/前提!$B$12</f>
      </c>
      <c r="I7" s="62">
        <f>$B7*I$6*前提!$B$16/前提!$B$12</f>
      </c>
      <c r="J7" s="62">
        <f>$B7*J$6*前提!$B$16/前提!$B$12</f>
      </c>
      <c r="K7" s="62">
        <f>$B7*K$6*前提!$B$16/前提!$B$12</f>
      </c>
      <c r="L7" s="62">
        <f>$B7*L$6*前提!$B$16/前提!$B$12</f>
      </c>
    </row>
    <row r="8" spans="2:12" x14ac:dyDescent="0.25">
      <c r="B8" s="61">
        <v>200000</v>
      </c>
      <c r="C8" s="62">
        <f>$B8*C$6*前提!$B$16/前提!$B$12</f>
      </c>
      <c r="D8" s="62">
        <f>$B8*D$6*前提!$B$16/前提!$B$12</f>
      </c>
      <c r="E8" s="62">
        <f>$B8*E$6*前提!$B$16/前提!$B$12</f>
      </c>
      <c r="F8" s="62">
        <f>$B8*F$6*前提!$B$16/前提!$B$12</f>
      </c>
      <c r="G8" s="62">
        <f>$B8*G$6*前提!$B$16/前提!$B$12</f>
      </c>
      <c r="H8" s="62">
        <f>$B8*H$6*前提!$B$16/前提!$B$12</f>
      </c>
      <c r="I8" s="62">
        <f>$B8*I$6*前提!$B$16/前提!$B$12</f>
      </c>
      <c r="J8" s="62">
        <f>$B8*J$6*前提!$B$16/前提!$B$12</f>
      </c>
      <c r="K8" s="62">
        <f>$B8*K$6*前提!$B$16/前提!$B$12</f>
      </c>
      <c r="L8" s="62">
        <f>$B8*L$6*前提!$B$16/前提!$B$12</f>
      </c>
    </row>
    <row r="9" spans="2:12" x14ac:dyDescent="0.25">
      <c r="B9" s="61">
        <v>300000</v>
      </c>
      <c r="C9" s="62">
        <f>$B9*C$6*前提!$B$16/前提!$B$12</f>
      </c>
      <c r="D9" s="62">
        <f>$B9*D$6*前提!$B$16/前提!$B$12</f>
      </c>
      <c r="E9" s="62">
        <f>$B9*E$6*前提!$B$16/前提!$B$12</f>
      </c>
      <c r="F9" s="62">
        <f>$B9*F$6*前提!$B$16/前提!$B$12</f>
      </c>
      <c r="G9" s="62">
        <f>$B9*G$6*前提!$B$16/前提!$B$12</f>
      </c>
      <c r="H9" s="62">
        <f>$B9*H$6*前提!$B$16/前提!$B$12</f>
      </c>
      <c r="I9" s="62">
        <f>$B9*I$6*前提!$B$16/前提!$B$12</f>
      </c>
      <c r="J9" s="62">
        <f>$B9*J$6*前提!$B$16/前提!$B$12</f>
      </c>
      <c r="K9" s="62">
        <f>$B9*K$6*前提!$B$16/前提!$B$12</f>
      </c>
      <c r="L9" s="62">
        <f>$B9*L$6*前提!$B$16/前提!$B$12</f>
      </c>
    </row>
    <row r="10" spans="2:12" x14ac:dyDescent="0.25">
      <c r="B10" s="61">
        <v>400000</v>
      </c>
      <c r="C10" s="62">
        <f>$B10*C$6*前提!$B$16/前提!$B$12</f>
      </c>
      <c r="D10" s="62">
        <f>$B10*D$6*前提!$B$16/前提!$B$12</f>
      </c>
      <c r="E10" s="62">
        <f>$B10*E$6*前提!$B$16/前提!$B$12</f>
      </c>
      <c r="F10" s="62">
        <f>$B10*F$6*前提!$B$16/前提!$B$12</f>
      </c>
      <c r="G10" s="62">
        <f>$B10*G$6*前提!$B$16/前提!$B$12</f>
      </c>
      <c r="H10" s="62">
        <f>$B10*H$6*前提!$B$16/前提!$B$12</f>
      </c>
      <c r="I10" s="62">
        <f>$B10*I$6*前提!$B$16/前提!$B$12</f>
      </c>
      <c r="J10" s="62">
        <f>$B10*J$6*前提!$B$16/前提!$B$12</f>
      </c>
      <c r="K10" s="62">
        <f>$B10*K$6*前提!$B$16/前提!$B$12</f>
      </c>
      <c r="L10" s="62">
        <f>$B10*L$6*前提!$B$16/前提!$B$12</f>
      </c>
    </row>
    <row r="11" spans="2:12" x14ac:dyDescent="0.25">
      <c r="B11" s="61">
        <v>500000</v>
      </c>
      <c r="C11" s="62">
        <f>$B11*C$6*前提!$B$16/前提!$B$12</f>
      </c>
      <c r="D11" s="62">
        <f>$B11*D$6*前提!$B$16/前提!$B$12</f>
      </c>
      <c r="E11" s="62">
        <f>$B11*E$6*前提!$B$16/前提!$B$12</f>
      </c>
      <c r="F11" s="62">
        <f>$B11*F$6*前提!$B$16/前提!$B$12</f>
      </c>
      <c r="G11" s="62">
        <f>$B11*G$6*前提!$B$16/前提!$B$12</f>
      </c>
      <c r="H11" s="62">
        <f>$B11*H$6*前提!$B$16/前提!$B$12</f>
      </c>
      <c r="I11" s="62">
        <f>$B11*I$6*前提!$B$16/前提!$B$12</f>
      </c>
      <c r="J11" s="62">
        <f>$B11*J$6*前提!$B$16/前提!$B$12</f>
      </c>
      <c r="K11" s="62">
        <f>$B11*K$6*前提!$B$16/前提!$B$12</f>
      </c>
      <c r="L11" s="62">
        <f>$B11*L$6*前提!$B$16/前提!$B$12</f>
      </c>
    </row>
    <row r="12" spans="2:12" x14ac:dyDescent="0.25">
      <c r="B12" s="61">
        <v>600000</v>
      </c>
      <c r="C12" s="62">
        <f>$B12*C$6*前提!$B$16/前提!$B$12</f>
      </c>
      <c r="D12" s="62">
        <f>$B12*D$6*前提!$B$16/前提!$B$12</f>
      </c>
      <c r="E12" s="62">
        <f>$B12*E$6*前提!$B$16/前提!$B$12</f>
      </c>
      <c r="F12" s="62">
        <f>$B12*F$6*前提!$B$16/前提!$B$12</f>
      </c>
      <c r="G12" s="62">
        <f>$B12*G$6*前提!$B$16/前提!$B$12</f>
      </c>
      <c r="H12" s="62">
        <f>$B12*H$6*前提!$B$16/前提!$B$12</f>
      </c>
      <c r="I12" s="62">
        <f>$B12*I$6*前提!$B$16/前提!$B$12</f>
      </c>
      <c r="J12" s="62">
        <f>$B12*J$6*前提!$B$16/前提!$B$12</f>
      </c>
      <c r="K12" s="62">
        <f>$B12*K$6*前提!$B$16/前提!$B$12</f>
      </c>
      <c r="L12" s="62">
        <f>$B12*L$6*前提!$B$16/前提!$B$12</f>
      </c>
    </row>
    <row r="13" spans="2:12" x14ac:dyDescent="0.25">
      <c r="B13" s="61">
        <v>800000</v>
      </c>
      <c r="C13" s="62">
        <f>$B13*C$6*前提!$B$16/前提!$B$12</f>
      </c>
      <c r="D13" s="62">
        <f>$B13*D$6*前提!$B$16/前提!$B$12</f>
      </c>
      <c r="E13" s="62">
        <f>$B13*E$6*前提!$B$16/前提!$B$12</f>
      </c>
      <c r="F13" s="62">
        <f>$B13*F$6*前提!$B$16/前提!$B$12</f>
      </c>
      <c r="G13" s="62">
        <f>$B13*G$6*前提!$B$16/前提!$B$12</f>
      </c>
      <c r="H13" s="62">
        <f>$B13*H$6*前提!$B$16/前提!$B$12</f>
      </c>
      <c r="I13" s="62">
        <f>$B13*I$6*前提!$B$16/前提!$B$12</f>
      </c>
      <c r="J13" s="62">
        <f>$B13*J$6*前提!$B$16/前提!$B$12</f>
      </c>
      <c r="K13" s="62">
        <f>$B13*K$6*前提!$B$16/前提!$B$12</f>
      </c>
      <c r="L13" s="62">
        <f>$B13*L$6*前提!$B$16/前提!$B$12</f>
      </c>
    </row>
    <row r="14" spans="2:12" x14ac:dyDescent="0.25">
      <c r="B14" s="61">
        <v>1000000</v>
      </c>
      <c r="C14" s="62">
        <f>$B14*C$6*前提!$B$16/前提!$B$12</f>
      </c>
      <c r="D14" s="62">
        <f>$B14*D$6*前提!$B$16/前提!$B$12</f>
      </c>
      <c r="E14" s="62">
        <f>$B14*E$6*前提!$B$16/前提!$B$12</f>
      </c>
      <c r="F14" s="62">
        <f>$B14*F$6*前提!$B$16/前提!$B$12</f>
      </c>
      <c r="G14" s="62">
        <f>$B14*G$6*前提!$B$16/前提!$B$12</f>
      </c>
      <c r="H14" s="62">
        <f>$B14*H$6*前提!$B$16/前提!$B$12</f>
      </c>
      <c r="I14" s="62">
        <f>$B14*I$6*前提!$B$16/前提!$B$12</f>
      </c>
      <c r="J14" s="62">
        <f>$B14*J$6*前提!$B$16/前提!$B$12</f>
      </c>
      <c r="K14" s="62">
        <f>$B14*K$6*前提!$B$16/前提!$B$12</f>
      </c>
      <c r="L14" s="62">
        <f>$B14*L$6*前提!$B$16/前提!$B$12</f>
      </c>
    </row>
    <row r="17" spans="1:1" x14ac:dyDescent="0.25">
      <c r="A17" s="36" t="s">
        <v>270</v>
      </c>
    </row>
    <row r="18" spans="1:1" x14ac:dyDescent="0.25">
      <c r="A18" s="36" t="s">
        <v>271</v>
      </c>
    </row>
  </sheetData>
  <conditionalFormatting sqref="C7:L14">
    <cfRule type="cellIs" dxfId="0" priority="1" operator="greaterThanOrEqual">
      <formula>1</formula>
    </cfRule>
    <cfRule type="cellIs" dxfId="1" priority="2" operator="between">
      <formula>0.6</formula>
      <formula>1</formula>
    </cfRule>
    <cfRule type="cellIs" dxfId="2" priority="3" operator="lessThan">
      <formula>0.6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はじめに</vt:lpstr>
      <vt:lpstr>前提</vt:lpstr>
      <vt:lpstr>1月末KPI目標</vt:lpstr>
      <vt:lpstr>月次モデル</vt:lpstr>
      <vt:lpstr>逆算とギャップ</vt:lpstr>
      <vt:lpstr>稼働キャパ</vt:lpstr>
      <vt:lpstr>感度分析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ProofLoop</dc:creator>
  <dc:title/>
  <dc:subject/>
  <dc:description/>
  <cp:keywords/>
  <cp:category/>
  <cp:lastModifiedBy>Unknown</cp:lastModifiedBy>
  <dcterms:created xsi:type="dcterms:W3CDTF">2026-08-07T06:04:06Z</dcterms:created>
  <dcterms:modified xsi:type="dcterms:W3CDTF">2026-08-07T06:04:06Z</dcterms:modified>
</cp:coreProperties>
</file>